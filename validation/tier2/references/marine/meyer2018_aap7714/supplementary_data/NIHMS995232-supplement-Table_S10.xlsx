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lac64\Box\CCD Project\CCD Progress Reports (RPPR)\Publications Reported\Nathan Clark\"/>
    </mc:Choice>
  </mc:AlternateContent>
  <bookViews>
    <workbookView xWindow="0" yWindow="0" windowWidth="28800" windowHeight="12330" tabRatio="500"/>
  </bookViews>
  <sheets>
    <sheet name="TableS10_AlignmentCheck" sheetId="1" r:id="rId1"/>
  </sheets>
  <definedNames>
    <definedName name="_xlnm._FilterDatabase" localSheetId="0" hidden="1">TableS10_AlignmentCheck!$A$19:$BO$59</definedName>
  </definedNames>
  <calcPr calcId="162913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K60" i="1" l="1"/>
  <c r="BM60" i="1"/>
  <c r="BN60" i="1"/>
  <c r="BJ60" i="1"/>
  <c r="BJ64" i="1"/>
  <c r="BL22" i="1"/>
  <c r="BL47" i="1"/>
  <c r="BL49" i="1"/>
  <c r="BL50" i="1"/>
  <c r="BL16" i="1"/>
  <c r="BL38" i="1"/>
  <c r="BL53" i="1"/>
  <c r="BL43" i="1"/>
  <c r="BL36" i="1"/>
  <c r="BL37" i="1"/>
  <c r="BL54" i="1"/>
  <c r="BL58" i="1"/>
  <c r="BL19" i="1"/>
  <c r="BL48" i="1"/>
  <c r="BL42" i="1"/>
  <c r="BL45" i="1"/>
  <c r="BL44" i="1"/>
  <c r="BL24" i="1"/>
  <c r="BL15" i="1"/>
  <c r="BL46" i="1"/>
  <c r="BL52" i="1"/>
  <c r="BL51" i="1"/>
  <c r="BL59" i="1"/>
  <c r="BL27" i="1"/>
  <c r="BL25" i="1"/>
  <c r="BL35" i="1"/>
  <c r="BL17" i="1"/>
  <c r="BL23" i="1"/>
  <c r="BL32" i="1"/>
  <c r="BL26" i="1"/>
  <c r="BL39" i="1"/>
  <c r="BL40" i="1"/>
  <c r="BL41" i="1"/>
  <c r="BL28" i="1"/>
  <c r="BL18" i="1"/>
  <c r="BL31" i="1"/>
  <c r="BL33" i="1"/>
  <c r="BL20" i="1"/>
  <c r="BL56" i="1"/>
  <c r="BL34" i="1"/>
  <c r="BL30" i="1"/>
  <c r="BL21" i="1"/>
  <c r="BL29" i="1"/>
  <c r="BL60" i="1"/>
  <c r="BK64" i="1"/>
  <c r="BM64" i="1"/>
</calcChain>
</file>

<file path=xl/sharedStrings.xml><?xml version="1.0" encoding="utf-8"?>
<sst xmlns="http://schemas.openxmlformats.org/spreadsheetml/2006/main" count="882" uniqueCount="326">
  <si>
    <t>ailMel1</t>
  </si>
  <si>
    <t>bosTau7</t>
  </si>
  <si>
    <t>calJac3</t>
  </si>
  <si>
    <t>camFer1</t>
  </si>
  <si>
    <t>canFam3</t>
  </si>
  <si>
    <t>capHir1</t>
  </si>
  <si>
    <t>cavPor3</t>
  </si>
  <si>
    <t>cerSim1</t>
  </si>
  <si>
    <t>chiLan1</t>
  </si>
  <si>
    <t>chlSab1</t>
  </si>
  <si>
    <t>chrAsi1</t>
  </si>
  <si>
    <t>conCri1</t>
  </si>
  <si>
    <t>criGri1</t>
  </si>
  <si>
    <t>dasNov3</t>
  </si>
  <si>
    <t>echTel2</t>
  </si>
  <si>
    <t>eleEdw1</t>
  </si>
  <si>
    <t>eptFus1</t>
  </si>
  <si>
    <t>equCab2</t>
  </si>
  <si>
    <t>eriEur2</t>
  </si>
  <si>
    <t>felCat5</t>
  </si>
  <si>
    <t>gorGor3</t>
  </si>
  <si>
    <t>hetGla2</t>
  </si>
  <si>
    <t>hg19</t>
  </si>
  <si>
    <t>jacJac1</t>
  </si>
  <si>
    <t>lepWed1</t>
  </si>
  <si>
    <t>loxAfr3</t>
  </si>
  <si>
    <t>macFas5</t>
  </si>
  <si>
    <t>mesAur1</t>
  </si>
  <si>
    <t>micOch1</t>
  </si>
  <si>
    <t>mm10</t>
  </si>
  <si>
    <t>musFur1</t>
  </si>
  <si>
    <t>myoDav1</t>
  </si>
  <si>
    <t>myoLuc2</t>
  </si>
  <si>
    <t>nomLeu3</t>
  </si>
  <si>
    <t>ochPri3</t>
  </si>
  <si>
    <t>octDeg1</t>
  </si>
  <si>
    <t>odoRosDiv1</t>
  </si>
  <si>
    <t>orcOrc1</t>
  </si>
  <si>
    <t>oryAfe1</t>
  </si>
  <si>
    <t>oryCun2</t>
  </si>
  <si>
    <t>otoGar3</t>
  </si>
  <si>
    <t>oviAri3</t>
  </si>
  <si>
    <t>panHod1</t>
  </si>
  <si>
    <t>panTro4</t>
  </si>
  <si>
    <t>papHam1</t>
  </si>
  <si>
    <t>ponAbe2</t>
  </si>
  <si>
    <t>pteAle1</t>
  </si>
  <si>
    <t>pteVam1</t>
  </si>
  <si>
    <t>rheMac3</t>
  </si>
  <si>
    <t>rn5</t>
  </si>
  <si>
    <t>saiBol1</t>
  </si>
  <si>
    <t>sorAra2</t>
  </si>
  <si>
    <t>speTri2</t>
  </si>
  <si>
    <t>susScr3</t>
  </si>
  <si>
    <t>triMan1</t>
  </si>
  <si>
    <t>tupChi1</t>
  </si>
  <si>
    <t>turTru2</t>
  </si>
  <si>
    <t>vicPac2</t>
  </si>
  <si>
    <t>Reason for Inclusion</t>
  </si>
  <si>
    <t>PON1</t>
  </si>
  <si>
    <t>uc003uns.3</t>
  </si>
  <si>
    <t>SLC39A9</t>
  </si>
  <si>
    <t>uc001xle.3</t>
  </si>
  <si>
    <t>x</t>
  </si>
  <si>
    <t>OR10Z1</t>
  </si>
  <si>
    <t>uc010pio.2</t>
  </si>
  <si>
    <t>OR8D4</t>
  </si>
  <si>
    <t>uc010saa.2</t>
  </si>
  <si>
    <t>TAS2R1</t>
  </si>
  <si>
    <t>uc003jem.1</t>
  </si>
  <si>
    <t>OR1F2P</t>
  </si>
  <si>
    <t>uc010uwv.2</t>
  </si>
  <si>
    <t>GSTM1</t>
  </si>
  <si>
    <t>uc001dyk.3</t>
  </si>
  <si>
    <t>OR6K2</t>
  </si>
  <si>
    <t>uc001fsu.1</t>
  </si>
  <si>
    <t>OR51D1</t>
  </si>
  <si>
    <t>uc010qyk.2</t>
  </si>
  <si>
    <t>TAAR5</t>
  </si>
  <si>
    <t>uc003qdk.2</t>
  </si>
  <si>
    <t>CYBB</t>
  </si>
  <si>
    <t>uc004ddr.2</t>
  </si>
  <si>
    <t>1*</t>
  </si>
  <si>
    <t>OR4C13</t>
  </si>
  <si>
    <t>uc010rhz.2</t>
  </si>
  <si>
    <t>Randomly Selected Gene</t>
  </si>
  <si>
    <t>APOO</t>
  </si>
  <si>
    <t>uc004dax.3</t>
  </si>
  <si>
    <t>OR6X1</t>
  </si>
  <si>
    <t>uc010rzy.2</t>
  </si>
  <si>
    <t>MYBPHL</t>
  </si>
  <si>
    <t>uc001dxk.1</t>
  </si>
  <si>
    <t>GBA3</t>
  </si>
  <si>
    <t>uc031sdv.1</t>
  </si>
  <si>
    <t>OR10P1</t>
  </si>
  <si>
    <t>uc010spq.2</t>
  </si>
  <si>
    <t>OR51Q1</t>
  </si>
  <si>
    <t>uc010qzd.2</t>
  </si>
  <si>
    <t>OR4K14</t>
  </si>
  <si>
    <t>uc010tky.2</t>
  </si>
  <si>
    <t>TAAR3</t>
  </si>
  <si>
    <t>uc021zfk.1</t>
  </si>
  <si>
    <t>CDC20B</t>
  </si>
  <si>
    <t>uc003jpo.2</t>
  </si>
  <si>
    <t>OR5D13</t>
  </si>
  <si>
    <t>uc010ril.2</t>
  </si>
  <si>
    <t>C11orf94</t>
  </si>
  <si>
    <t>uc001nbs.4</t>
  </si>
  <si>
    <t>ARHGAP6</t>
  </si>
  <si>
    <t>uc004cup.1</t>
  </si>
  <si>
    <t>DCLRE1C</t>
  </si>
  <si>
    <t>uc001inn.3</t>
  </si>
  <si>
    <t>ZNF449</t>
  </si>
  <si>
    <t>uc004eys.3</t>
  </si>
  <si>
    <t>OR5AN1</t>
  </si>
  <si>
    <t>uc010rks.2</t>
  </si>
  <si>
    <t>FOXD4L2</t>
  </si>
  <si>
    <t>uc004acn.3</t>
  </si>
  <si>
    <t>ZC3H4</t>
  </si>
  <si>
    <t>uc002pga.4</t>
  </si>
  <si>
    <t>ABCC6P1</t>
  </si>
  <si>
    <t>uc002dfg.3</t>
  </si>
  <si>
    <t>ARRB1</t>
  </si>
  <si>
    <t>uc001owe.2</t>
  </si>
  <si>
    <t>GABRR2</t>
  </si>
  <si>
    <t>uc003pnb.3</t>
  </si>
  <si>
    <t>HSF2</t>
  </si>
  <si>
    <t>uc003pyu.2</t>
  </si>
  <si>
    <t>OMP</t>
  </si>
  <si>
    <t>uc010rsk.2</t>
  </si>
  <si>
    <t>LTB</t>
  </si>
  <si>
    <t>uc003nuk.3</t>
  </si>
  <si>
    <t>SOCS5</t>
  </si>
  <si>
    <t>uc002rvf.3</t>
  </si>
  <si>
    <t>AK1</t>
  </si>
  <si>
    <t>uc004bsm.4</t>
  </si>
  <si>
    <t>A4GNT</t>
  </si>
  <si>
    <t>uc003ers.2</t>
  </si>
  <si>
    <t>RPUSD2</t>
  </si>
  <si>
    <t>uc001zmd.1</t>
  </si>
  <si>
    <t>KRT17</t>
  </si>
  <si>
    <t>uc002hxh.2</t>
  </si>
  <si>
    <t>ENAM</t>
  </si>
  <si>
    <t>uc011caw.1</t>
  </si>
  <si>
    <t>OPN1LW</t>
  </si>
  <si>
    <t>uc004fjz.4</t>
  </si>
  <si>
    <t>Top Twenty Gene</t>
  </si>
  <si>
    <t>Known Case of Functional Loss</t>
  </si>
  <si>
    <r>
      <t>1</t>
    </r>
    <r>
      <rPr>
        <vertAlign val="superscript"/>
        <sz val="12"/>
        <color theme="1"/>
        <rFont val="Arial"/>
        <family val="2"/>
      </rPr>
      <t>A</t>
    </r>
  </si>
  <si>
    <r>
      <t>1</t>
    </r>
    <r>
      <rPr>
        <vertAlign val="superscript"/>
        <sz val="12"/>
        <color theme="1"/>
        <rFont val="Arial"/>
        <family val="2"/>
      </rPr>
      <t>B</t>
    </r>
  </si>
  <si>
    <t>AMTN</t>
  </si>
  <si>
    <t>uc003hfk.1</t>
  </si>
  <si>
    <t>AMELX</t>
  </si>
  <si>
    <t>uc004cus.3</t>
  </si>
  <si>
    <t>C4orf26</t>
  </si>
  <si>
    <t>uc011cbo.2</t>
  </si>
  <si>
    <t>0 (f), 0,0,0(s)</t>
  </si>
  <si>
    <t>0,0,0(f), 0,0,0(s)</t>
  </si>
  <si>
    <t>0 (s)</t>
  </si>
  <si>
    <t>0 (f)</t>
  </si>
  <si>
    <t>0* (f): C is present before poly-A, rather than gap after</t>
  </si>
  <si>
    <t>0* (f): 1 bp deletion in exon 6 put back into frame by 1 bp insertion not in alignment (13 aa changed)</t>
  </si>
  <si>
    <t>0* (f): 1 bp fs not present but start codon ablated (ctc) in reference</t>
  </si>
  <si>
    <t>0* (f): C in place of gap in reference E6</t>
  </si>
  <si>
    <t>0* (f): G in place of gap in reference E6</t>
  </si>
  <si>
    <t>0* (f): A in place of 1 bp gap in alignment (also 6 bp insertion in reference)</t>
  </si>
  <si>
    <t>0* (f): 1 bp fs in E3 replaced by C</t>
  </si>
  <si>
    <t>0* (f): 1 bp fs in E14 not in ref</t>
  </si>
  <si>
    <t>Guinea pig</t>
  </si>
  <si>
    <t>0 (f), 0(s), also missing 2 bp insertion in E2</t>
  </si>
  <si>
    <t>0*, 0* (f) 1 bp fs wrong in E11, 2 bp fs wrong in E14</t>
  </si>
  <si>
    <t>0* (f) 1 bp fs in E11 wrong</t>
  </si>
  <si>
    <t>0* (f) 1 bp fs in E14 wrong</t>
  </si>
  <si>
    <t>0* (s)</t>
  </si>
  <si>
    <t>0 (f), 0,0 (s)</t>
  </si>
  <si>
    <t>0,0 (f)</t>
  </si>
  <si>
    <t>0* (f), 0,0 (s): 5 bp deletion restored by 5 bp insertion in E1 but stops retained; exon mapping is split across 3 regions of a scaffold</t>
  </si>
  <si>
    <t>0,0 (f), 0 (s)</t>
  </si>
  <si>
    <t>0 (s): 1 bp missed insertion just upstream of intact stop codon sequence shifts frame and removes stops, but 129 aa modified</t>
  </si>
  <si>
    <t>0, 0 (s): 1 bp insertion upstream of both intact stops shifts frame to eliminate stops but modifies 130 aa</t>
  </si>
  <si>
    <t>0, 0 (s): 1 bp insertion upstream of both intact stops shifts frame to eliminate stops but modifies 127 aa</t>
  </si>
  <si>
    <t>0, 0 (s): reference exon also has 31 bp insert that induces frameshift and premature stops</t>
  </si>
  <si>
    <t>0 (s): 1 bp missed insertion just upstream of intact stop codon sequence shifts frame and removes first stop, but other shifts induce new stops, and 108 aa modified</t>
  </si>
  <si>
    <t>0 (s): 1 bp missed insertion just upstream of intact stop codon sequence shifts frame and removes stop, but 126 aa modified</t>
  </si>
  <si>
    <t>0 (s): 1 bp missed insertion just upstream of intact stop codon sequence shifts frame and removes stop, but 125 aa modified</t>
  </si>
  <si>
    <t>0, 0 (f)</t>
  </si>
  <si>
    <t>0,0 (f,f)</t>
  </si>
  <si>
    <t>0 (s), 0, (f)</t>
  </si>
  <si>
    <t>0,0 (s), 0 (f)</t>
  </si>
  <si>
    <t>0,0 (s)</t>
  </si>
  <si>
    <t xml:space="preserve">0,0,0 (f) </t>
  </si>
  <si>
    <t>0 (s), 0,0,0 (f)</t>
  </si>
  <si>
    <t>0 (s), 0 (f)</t>
  </si>
  <si>
    <t>0 (f), 0 (s)</t>
  </si>
  <si>
    <t>0* (f)</t>
  </si>
  <si>
    <t>0,0,0 (f) and additional fs  in E8</t>
  </si>
  <si>
    <t>0* (f), 1bp deletion offset by insertion 12bp downstream</t>
  </si>
  <si>
    <t>0* (s): 1 bp fs made up for by 1 bp insert 8 codons later in E5</t>
  </si>
  <si>
    <t>0 (f): 1 bp fs in E14 wrong but missed 1 bp insert earlier in exon, string of n's mid-exon</t>
  </si>
  <si>
    <t>0 (f) plus several other frameshifting insertions</t>
  </si>
  <si>
    <t>0 (s) !stop is in genome version, but likely not real according to outside sources</t>
  </si>
  <si>
    <t>0 (f): 1 bp deletion restored by 1 bp insertion in E1, and additional 2 bp deletion 3 bp from end of exon and possible splice site ablation</t>
  </si>
  <si>
    <t>0,0,0 (s)</t>
  </si>
  <si>
    <t>0(s), 0*,0(f)</t>
  </si>
  <si>
    <t>0 (f), additional 1bp insertion downstream</t>
  </si>
  <si>
    <t>0,0(s),0,0(f)</t>
  </si>
  <si>
    <t>0,0(s) 0,0,0,0(f)</t>
  </si>
  <si>
    <t>0(s)</t>
  </si>
  <si>
    <t>0(s) 0,0,0(f)</t>
  </si>
  <si>
    <t>0*(f) 0(s): 4 bp deletion is just 1 bp and compensated for by 7 bp insertion, but premature stop remains, sequence quality iffy earlier in exon</t>
  </si>
  <si>
    <t>0,0(s): additional 1 bp insertion in reference introduces frameshift (changing 124 aa)</t>
  </si>
  <si>
    <t>0(s): additional 1 bp insertion introduces frameshift (changing 126 aa)</t>
  </si>
  <si>
    <t>0(s),0*(f)</t>
  </si>
  <si>
    <t>0*(f): 7 bp deletion wrong but 1 bp insert + 11 bp and 4 bp deletions elsewhere probably affect frame</t>
  </si>
  <si>
    <t>0*(f): additional 1 bp insertion upstream</t>
  </si>
  <si>
    <t>0*,0(f): reference has 16 bp insertion rather than 4 bp deletion; 5 bp deletion confirmed by reference; 3 additional 1 bp insertions and one 2 bp insertion in reference</t>
  </si>
  <si>
    <t>0, 0(f),0(s); additional 1 bp insertion in middle of exon, stop codon sequence intact</t>
  </si>
  <si>
    <t>0(f)</t>
  </si>
  <si>
    <t>0,0(s)</t>
  </si>
  <si>
    <t>0*(f)</t>
  </si>
  <si>
    <t>0,0(f)</t>
  </si>
  <si>
    <t>0,0,0(s)</t>
  </si>
  <si>
    <t>0(s),0(f)</t>
  </si>
  <si>
    <t>0,0,0,0(f)</t>
  </si>
  <si>
    <t>0,0,0(s),0,0,0,0(f)</t>
  </si>
  <si>
    <t>0,0,0(f)</t>
  </si>
  <si>
    <t>0(s),0,0,0(f)</t>
  </si>
  <si>
    <t>0,0(s),0(f)</t>
  </si>
  <si>
    <t>0(s),0,0(f)</t>
  </si>
  <si>
    <t>0,0,0,0(s),0,0(f)</t>
  </si>
  <si>
    <t>0,0(s),0,0,0(f)</t>
  </si>
  <si>
    <t>0,0,0,0(s),0,0,0(f)</t>
  </si>
  <si>
    <t>0(s),0,0,0,0,0(f)</t>
  </si>
  <si>
    <t>0,0,0,0,0,0,0(f)</t>
  </si>
  <si>
    <t>0,0,0(s),0(f)</t>
  </si>
  <si>
    <t>0*,0*(f)</t>
  </si>
  <si>
    <t>0,0,0,0(s)</t>
  </si>
  <si>
    <t>0,0,0(s),0,0(f)</t>
  </si>
  <si>
    <t>0,0,0,0,0(s),0,0(f)</t>
  </si>
  <si>
    <t>0,0,0,0,0,0(s),0(f)</t>
  </si>
  <si>
    <t>0,0,0,0,0,0,0(s),0(f)</t>
  </si>
  <si>
    <t>0,0*(s),0*(f)</t>
  </si>
  <si>
    <t>0,0,0,0(s),0(f)</t>
  </si>
  <si>
    <t>Weddell seal</t>
  </si>
  <si>
    <t>Tibetan antelope</t>
  </si>
  <si>
    <t>Rhesus macaque</t>
  </si>
  <si>
    <t>Totals</t>
  </si>
  <si>
    <t>Key</t>
  </si>
  <si>
    <t>1 = intact gene call</t>
  </si>
  <si>
    <t>0* = lesion not supported in source genome</t>
  </si>
  <si>
    <t>pseudogene call supported by source genome</t>
  </si>
  <si>
    <t>pseudogene call not supported by source genome</t>
  </si>
  <si>
    <t>gene had been filtered from entire analysis</t>
  </si>
  <si>
    <t>x = gene failed quality control for this species</t>
  </si>
  <si>
    <t>Error rate per pseudogene call</t>
  </si>
  <si>
    <t>False positive rate</t>
  </si>
  <si>
    <t>false lesions / all lesion calls</t>
  </si>
  <si>
    <t>false positives / all negatives</t>
  </si>
  <si>
    <t>false pseudogenes / all pseudogene calls</t>
  </si>
  <si>
    <t>False 0 gene calls</t>
  </si>
  <si>
    <t>Total 0 calls</t>
  </si>
  <si>
    <t>Total 1 calls</t>
  </si>
  <si>
    <t>False lesions</t>
  </si>
  <si>
    <t>Total lesions</t>
  </si>
  <si>
    <t>(s) = Preceding 0's are stop codon, or (f) frameshift</t>
  </si>
  <si>
    <t>This study was conducted to assess the general error rate of calling potential pseudogenes using lesions (stop codons and frameshifts) apparent in the 100-way alignment (hg19 version, UCSC Genome Browser). Apparent lesions were manually examined for support in the source genome assembly that was used in the 100-way. The results, in the bottom-right of the table, show that these potential pseudogene calls are a useful starting point for screening but should be independently validated for any further applications.</t>
  </si>
  <si>
    <t>Per-lesion error rate</t>
  </si>
  <si>
    <t>0 = lesion call supported in source genome</t>
  </si>
  <si>
    <t>Table S10. Results from manual validation of functional/pseudogene calls against source genomes</t>
  </si>
  <si>
    <t>Species common name</t>
  </si>
  <si>
    <t>Panda</t>
  </si>
  <si>
    <t>Cow</t>
  </si>
  <si>
    <t>Marmoset</t>
  </si>
  <si>
    <t>Bactrian camel</t>
  </si>
  <si>
    <t>Dog</t>
  </si>
  <si>
    <t>Domestic goat</t>
  </si>
  <si>
    <t>White rhinoceros</t>
  </si>
  <si>
    <t>Chinchilla</t>
  </si>
  <si>
    <t>Green monkey</t>
  </si>
  <si>
    <t>Cape golden mole</t>
  </si>
  <si>
    <t>Star-nosed mole</t>
  </si>
  <si>
    <t>Chinese hamster</t>
  </si>
  <si>
    <t>Armadillo</t>
  </si>
  <si>
    <t>Tenrec</t>
  </si>
  <si>
    <t>Cape elephant shrew</t>
  </si>
  <si>
    <t>Big brown bat</t>
  </si>
  <si>
    <t>Horse</t>
  </si>
  <si>
    <t>Hedgehog</t>
  </si>
  <si>
    <t>Cat</t>
  </si>
  <si>
    <t>Gorilla</t>
  </si>
  <si>
    <t>Naked mole-rat</t>
  </si>
  <si>
    <t>Human</t>
  </si>
  <si>
    <t>Egyptian jerboa</t>
  </si>
  <si>
    <t>Elephant</t>
  </si>
  <si>
    <t>Crab-eating macaque</t>
  </si>
  <si>
    <t>Golden hamster</t>
  </si>
  <si>
    <t>Prairie vole</t>
  </si>
  <si>
    <t>Mouse</t>
  </si>
  <si>
    <t>Ferret</t>
  </si>
  <si>
    <t>David's myotis bat</t>
  </si>
  <si>
    <t>Little brown bat</t>
  </si>
  <si>
    <t>Gibbon</t>
  </si>
  <si>
    <t>Pika</t>
  </si>
  <si>
    <t>Brush-tailed rat</t>
  </si>
  <si>
    <t>Pacific walrus</t>
  </si>
  <si>
    <t>Killer whale</t>
  </si>
  <si>
    <t>Aardvark</t>
  </si>
  <si>
    <t>Rabbit</t>
  </si>
  <si>
    <t>Bushbaby</t>
  </si>
  <si>
    <t>Sheep</t>
  </si>
  <si>
    <t>Chimp</t>
  </si>
  <si>
    <t>Baboon</t>
  </si>
  <si>
    <t>Orangutan</t>
  </si>
  <si>
    <t>Black flying fox</t>
  </si>
  <si>
    <t>Large flying fox</t>
  </si>
  <si>
    <t>Rat</t>
  </si>
  <si>
    <t>Squirrel monkey</t>
  </si>
  <si>
    <t>Shrew</t>
  </si>
  <si>
    <t>Ground squirrel</t>
  </si>
  <si>
    <t>Pig</t>
  </si>
  <si>
    <t>Manatee</t>
  </si>
  <si>
    <t>Chinese tree shrew</t>
  </si>
  <si>
    <t>Dolphin</t>
  </si>
  <si>
    <t>Alpaca</t>
  </si>
  <si>
    <t>Gene</t>
  </si>
  <si>
    <t>UCSC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</si>
</sst>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3" x14ac:knownFonts="1">
    <font>
      <sz val="12"/>
      <color theme="1"/>
      <name val="Calibri"/>
      <family val="2"/>
      <charset val="204"/>
      <scheme val="minor"/>
    </font>
    <font>
      <sz val="12"/>
      <color theme="1"/>
      <name val="Arial"/>
      <family val="2"/>
    </font>
    <font>
      <sz val="12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006100"/>
      <name val="Arial"/>
      <family val="2"/>
    </font>
    <font>
      <sz val="12"/>
      <color rgb="FF3F3F76"/>
      <name val="Arial"/>
    </font>
    <font>
      <sz val="8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2" applyNumberFormat="0" applyAlignment="0" applyProtection="0"/>
  </cellStyleXfs>
  <cellXfs count="53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0" fontId="4" fillId="0" borderId="0" xfId="0" applyFont="1" applyBorder="1"/>
    <xf numFmtId="0" fontId="1" fillId="4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left"/>
    </xf>
    <xf numFmtId="49" fontId="1" fillId="5" borderId="0" xfId="0" applyNumberFormat="1" applyFont="1" applyFill="1" applyBorder="1"/>
    <xf numFmtId="0" fontId="1" fillId="5" borderId="0" xfId="0" applyFont="1" applyFill="1" applyBorder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9" fillId="2" borderId="0" xfId="7" applyFont="1" applyBorder="1" applyAlignment="1">
      <alignment horizontal="center"/>
    </xf>
    <xf numFmtId="0" fontId="1" fillId="0" borderId="0" xfId="0" applyFont="1" applyBorder="1"/>
    <xf numFmtId="0" fontId="10" fillId="3" borderId="0" xfId="8" applyFont="1" applyBorder="1" applyAlignment="1">
      <alignment horizontal="left"/>
    </xf>
    <xf numFmtId="0" fontId="1" fillId="4" borderId="0" xfId="7" applyFont="1" applyFill="1" applyBorder="1" applyAlignment="1">
      <alignment horizontal="center"/>
    </xf>
    <xf numFmtId="0" fontId="9" fillId="2" borderId="0" xfId="7" applyFont="1" applyBorder="1" applyAlignment="1">
      <alignment horizontal="left"/>
    </xf>
    <xf numFmtId="0" fontId="9" fillId="2" borderId="0" xfId="7" applyFont="1" applyBorder="1" applyAlignment="1">
      <alignment horizontal="center" vertical="center"/>
    </xf>
    <xf numFmtId="0" fontId="10" fillId="3" borderId="0" xfId="8" applyFont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/>
    </xf>
    <xf numFmtId="0" fontId="11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" fillId="0" borderId="3" xfId="0" applyFont="1" applyFill="1" applyBorder="1"/>
    <xf numFmtId="0" fontId="4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9" fillId="2" borderId="0" xfId="7" applyFont="1" applyBorder="1" applyAlignment="1">
      <alignment horizontal="center" vertic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Good" xfId="7" builtinId="26"/>
    <cellStyle name="Hyperlink" xfId="1" builtinId="8" hidden="1"/>
    <cellStyle name="Hyperlink" xfId="3" builtinId="8" hidden="1"/>
    <cellStyle name="Hyperlink" xfId="5" builtinId="8" hidden="1"/>
    <cellStyle name="Input" xfId="8" builtinId="20"/>
    <cellStyle name="Normal" xfId="0" builtinId="0"/>
  </cellStyles>
  <dxfs count="0"/>
  <tableStyles count="0" defaultTableStyle="TableStyleMedium9" defaultPivotStyle="PivotStyleMedium7"/>
  <colors>
    <mruColors>
      <color rgb="FF00FF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7"/>
  <sheetViews>
    <sheetView tabSelected="1" zoomScale="120" zoomScaleNormal="120" zoomScalePageLayoutView="120" workbookViewId="0">
      <selection activeCell="B8" sqref="B8:F8"/>
    </sheetView>
  </sheetViews>
  <sheetFormatPr defaultColWidth="11" defaultRowHeight="15" x14ac:dyDescent="0.2"/>
  <cols>
    <col min="1" max="1" width="22.375" style="15" bestFit="1" customWidth="1"/>
    <col min="2" max="2" width="13.625" style="15" customWidth="1"/>
    <col min="3" max="3" width="7.5" style="16" bestFit="1" customWidth="1"/>
    <col min="4" max="4" width="11.125" style="16" customWidth="1"/>
    <col min="5" max="5" width="7.875" style="16" bestFit="1" customWidth="1"/>
    <col min="6" max="6" width="9" style="16" bestFit="1" customWidth="1"/>
    <col min="7" max="7" width="9.5" style="16" bestFit="1" customWidth="1"/>
    <col min="8" max="8" width="8" style="16" customWidth="1"/>
    <col min="9" max="9" width="14.875" style="16" customWidth="1"/>
    <col min="10" max="10" width="8.5" style="16" bestFit="1" customWidth="1"/>
    <col min="11" max="11" width="8.125" style="16" customWidth="1"/>
    <col min="12" max="12" width="8.375" style="16" customWidth="1"/>
    <col min="13" max="13" width="12" style="16" customWidth="1"/>
    <col min="14" max="14" width="10.625" style="16" customWidth="1"/>
    <col min="15" max="15" width="8.375" style="16" customWidth="1"/>
    <col min="16" max="16" width="9" style="16" bestFit="1" customWidth="1"/>
    <col min="17" max="17" width="8.125" style="16" bestFit="1" customWidth="1"/>
    <col min="18" max="18" width="8.875" style="16" customWidth="1"/>
    <col min="19" max="19" width="12.5" style="16" customWidth="1"/>
    <col min="20" max="20" width="15.125" style="16" customWidth="1"/>
    <col min="21" max="21" width="8.5" style="16" customWidth="1"/>
    <col min="22" max="22" width="12.375" style="16" customWidth="1"/>
    <col min="23" max="23" width="8.5" style="16" customWidth="1"/>
    <col min="24" max="24" width="15.875" style="16" customWidth="1"/>
    <col min="25" max="25" width="5.5" style="16" customWidth="1"/>
    <col min="26" max="26" width="17" style="16" customWidth="1"/>
    <col min="27" max="27" width="13.625" style="16" customWidth="1"/>
    <col min="28" max="28" width="11.875" style="16" bestFit="1" customWidth="1"/>
    <col min="29" max="29" width="9.375" style="16" bestFit="1" customWidth="1"/>
    <col min="30" max="30" width="9.125" style="16" customWidth="1"/>
    <col min="31" max="31" width="16.5" style="16" customWidth="1"/>
    <col min="32" max="32" width="10.875" style="16" customWidth="1"/>
    <col min="33" max="33" width="11.375" style="16" customWidth="1"/>
    <col min="34" max="34" width="9.5" style="16" customWidth="1"/>
    <col min="35" max="35" width="9.125" style="16" customWidth="1"/>
    <col min="36" max="36" width="9.5" style="16" bestFit="1" customWidth="1"/>
    <col min="37" max="37" width="7.875" style="16" bestFit="1" customWidth="1"/>
    <col min="38" max="38" width="8.5" style="16" bestFit="1" customWidth="1"/>
    <col min="39" max="39" width="12" style="16" customWidth="1"/>
    <col min="40" max="40" width="13.5" style="16" customWidth="1"/>
    <col min="41" max="41" width="12.5" style="16" customWidth="1"/>
    <col min="42" max="42" width="8.625" style="16" bestFit="1" customWidth="1"/>
    <col min="43" max="43" width="10.875" style="16" customWidth="1"/>
    <col min="44" max="44" width="8.875" style="16" customWidth="1"/>
    <col min="45" max="45" width="9.125" style="16" customWidth="1"/>
    <col min="46" max="46" width="8.5" style="16" bestFit="1" customWidth="1"/>
    <col min="47" max="47" width="9.875" style="16" customWidth="1"/>
    <col min="48" max="48" width="9.125" style="16" bestFit="1" customWidth="1"/>
    <col min="49" max="49" width="7.875" style="16" customWidth="1"/>
    <col min="50" max="50" width="9.125" style="16" bestFit="1" customWidth="1"/>
    <col min="51" max="51" width="8.875" style="16" customWidth="1"/>
    <col min="52" max="52" width="16.125" style="16" customWidth="1"/>
    <col min="53" max="53" width="11.375" style="16" customWidth="1"/>
    <col min="54" max="54" width="11.5" style="16" customWidth="1"/>
    <col min="55" max="55" width="9.875" style="16" customWidth="1"/>
    <col min="56" max="56" width="8.375" style="16" customWidth="1"/>
    <col min="57" max="57" width="12.375" style="16" customWidth="1"/>
    <col min="58" max="58" width="8" style="16" customWidth="1"/>
    <col min="59" max="59" width="15.625" style="16" customWidth="1"/>
    <col min="60" max="60" width="8.125" style="16" bestFit="1" customWidth="1"/>
    <col min="61" max="61" width="29.125" style="15" bestFit="1" customWidth="1"/>
    <col min="62" max="62" width="25.875" style="16" customWidth="1"/>
    <col min="63" max="63" width="20.5" style="16" customWidth="1"/>
    <col min="64" max="64" width="19.125" style="16" customWidth="1"/>
    <col min="65" max="65" width="21.125" style="16" customWidth="1"/>
    <col min="66" max="66" width="13.5" style="16" customWidth="1"/>
    <col min="67" max="67" width="11" style="16"/>
    <col min="68" max="16384" width="11" style="15"/>
  </cols>
  <sheetData>
    <row r="1" spans="1:67" ht="15.75" x14ac:dyDescent="0.25">
      <c r="A1" s="44" t="s">
        <v>268</v>
      </c>
      <c r="B1" s="44"/>
      <c r="C1" s="44"/>
      <c r="D1" s="44"/>
      <c r="E1" s="44"/>
      <c r="F1" s="44"/>
      <c r="G1" s="44"/>
      <c r="H1" s="44"/>
      <c r="I1" s="44"/>
      <c r="J1" s="44"/>
    </row>
    <row r="2" spans="1:67" ht="89.1" customHeight="1" x14ac:dyDescent="0.2">
      <c r="A2" s="45" t="s">
        <v>265</v>
      </c>
      <c r="B2" s="46"/>
      <c r="C2" s="46"/>
      <c r="D2" s="46"/>
      <c r="E2" s="46"/>
      <c r="F2" s="46"/>
      <c r="G2" s="46"/>
      <c r="H2" s="46"/>
      <c r="I2" s="46"/>
      <c r="J2" s="47"/>
      <c r="K2" s="47"/>
      <c r="L2" s="47"/>
    </row>
    <row r="3" spans="1:67" ht="15.95" customHeight="1" x14ac:dyDescent="0.2">
      <c r="A3" s="13"/>
      <c r="B3" s="17"/>
      <c r="C3" s="17"/>
      <c r="D3" s="17"/>
      <c r="E3" s="17"/>
      <c r="F3" s="17"/>
      <c r="G3" s="17"/>
      <c r="H3" s="17"/>
      <c r="I3" s="17"/>
      <c r="J3" s="18"/>
      <c r="K3" s="18"/>
      <c r="L3" s="18"/>
    </row>
    <row r="4" spans="1:67" ht="15.95" customHeight="1" x14ac:dyDescent="0.2">
      <c r="A4" s="11" t="s">
        <v>247</v>
      </c>
      <c r="B4" s="48" t="s">
        <v>248</v>
      </c>
      <c r="C4" s="47"/>
      <c r="D4" s="47"/>
      <c r="E4" s="47"/>
      <c r="F4" s="18"/>
      <c r="L4" s="14"/>
    </row>
    <row r="5" spans="1:67" ht="15.95" customHeight="1" x14ac:dyDescent="0.2">
      <c r="A5" s="10"/>
      <c r="B5" s="48" t="s">
        <v>267</v>
      </c>
      <c r="C5" s="46"/>
      <c r="D5" s="46"/>
      <c r="E5" s="46"/>
      <c r="F5" s="17"/>
      <c r="G5" s="14"/>
      <c r="H5" s="14"/>
      <c r="I5" s="14"/>
      <c r="J5" s="14"/>
      <c r="K5" s="14"/>
      <c r="L5" s="14"/>
    </row>
    <row r="6" spans="1:67" ht="15.95" customHeight="1" x14ac:dyDescent="0.2">
      <c r="A6" s="10"/>
      <c r="B6" s="48" t="s">
        <v>249</v>
      </c>
      <c r="C6" s="48"/>
      <c r="D6" s="48"/>
      <c r="E6" s="46"/>
      <c r="F6" s="14"/>
      <c r="L6" s="14"/>
    </row>
    <row r="7" spans="1:67" ht="15.95" customHeight="1" x14ac:dyDescent="0.2">
      <c r="A7" s="10"/>
      <c r="B7" s="48" t="s">
        <v>264</v>
      </c>
      <c r="C7" s="48"/>
      <c r="D7" s="48"/>
      <c r="E7" s="48"/>
      <c r="F7" s="48"/>
      <c r="G7" s="14"/>
      <c r="H7" s="14"/>
      <c r="I7" s="14"/>
      <c r="J7" s="14"/>
      <c r="K7" s="14"/>
      <c r="L7" s="14"/>
    </row>
    <row r="8" spans="1:67" ht="15.95" customHeight="1" x14ac:dyDescent="0.2">
      <c r="A8" s="10"/>
      <c r="B8" s="48" t="s">
        <v>253</v>
      </c>
      <c r="C8" s="48"/>
      <c r="D8" s="48"/>
      <c r="E8" s="48"/>
      <c r="F8" s="48"/>
      <c r="L8" s="14"/>
    </row>
    <row r="9" spans="1:67" ht="15.95" customHeight="1" x14ac:dyDescent="0.2">
      <c r="A9" s="10"/>
      <c r="B9" s="52" t="s">
        <v>250</v>
      </c>
      <c r="C9" s="50"/>
      <c r="D9" s="50"/>
      <c r="E9" s="50"/>
      <c r="F9" s="50"/>
      <c r="G9" s="12"/>
      <c r="H9" s="14"/>
      <c r="I9" s="14"/>
      <c r="J9" s="14"/>
      <c r="K9" s="14"/>
      <c r="L9" s="14"/>
    </row>
    <row r="10" spans="1:67" ht="15.95" customHeight="1" x14ac:dyDescent="0.2">
      <c r="A10" s="10"/>
      <c r="B10" s="51" t="s">
        <v>251</v>
      </c>
      <c r="C10" s="50"/>
      <c r="D10" s="50"/>
      <c r="E10" s="50"/>
      <c r="F10" s="50"/>
      <c r="G10" s="12"/>
      <c r="H10" s="14"/>
      <c r="I10" s="14"/>
      <c r="J10" s="14"/>
      <c r="K10" s="14"/>
      <c r="L10" s="14"/>
    </row>
    <row r="11" spans="1:67" ht="15.95" customHeight="1" x14ac:dyDescent="0.2">
      <c r="A11" s="10"/>
      <c r="B11" s="49" t="s">
        <v>252</v>
      </c>
      <c r="C11" s="50"/>
      <c r="D11" s="50"/>
      <c r="E11" s="50"/>
      <c r="F11" s="50"/>
      <c r="G11" s="12"/>
      <c r="H11" s="14"/>
      <c r="I11" s="14"/>
      <c r="J11" s="14"/>
      <c r="K11" s="14"/>
      <c r="L11" s="14"/>
    </row>
    <row r="12" spans="1:67" ht="15.75" x14ac:dyDescent="0.25">
      <c r="A12" s="5"/>
    </row>
    <row r="13" spans="1:67" s="20" customFormat="1" ht="15.75" x14ac:dyDescent="0.25">
      <c r="A13" s="43" t="s">
        <v>324</v>
      </c>
      <c r="B13" s="43" t="s">
        <v>325</v>
      </c>
      <c r="C13" s="39" t="s">
        <v>0</v>
      </c>
      <c r="D13" s="39" t="s">
        <v>1</v>
      </c>
      <c r="E13" s="39" t="s">
        <v>2</v>
      </c>
      <c r="F13" s="39" t="s">
        <v>3</v>
      </c>
      <c r="G13" s="39" t="s">
        <v>4</v>
      </c>
      <c r="H13" s="39" t="s">
        <v>5</v>
      </c>
      <c r="I13" s="39" t="s">
        <v>6</v>
      </c>
      <c r="J13" s="39" t="s">
        <v>7</v>
      </c>
      <c r="K13" s="39" t="s">
        <v>8</v>
      </c>
      <c r="L13" s="39" t="s">
        <v>9</v>
      </c>
      <c r="M13" s="39" t="s">
        <v>10</v>
      </c>
      <c r="N13" s="39" t="s">
        <v>11</v>
      </c>
      <c r="O13" s="39" t="s">
        <v>12</v>
      </c>
      <c r="P13" s="39" t="s">
        <v>13</v>
      </c>
      <c r="Q13" s="39" t="s">
        <v>14</v>
      </c>
      <c r="R13" s="39" t="s">
        <v>15</v>
      </c>
      <c r="S13" s="39" t="s">
        <v>16</v>
      </c>
      <c r="T13" s="39" t="s">
        <v>17</v>
      </c>
      <c r="U13" s="39" t="s">
        <v>18</v>
      </c>
      <c r="V13" s="39" t="s">
        <v>19</v>
      </c>
      <c r="W13" s="39" t="s">
        <v>20</v>
      </c>
      <c r="X13" s="39" t="s">
        <v>21</v>
      </c>
      <c r="Y13" s="39" t="s">
        <v>22</v>
      </c>
      <c r="Z13" s="39" t="s">
        <v>23</v>
      </c>
      <c r="AA13" s="39" t="s">
        <v>24</v>
      </c>
      <c r="AB13" s="39" t="s">
        <v>25</v>
      </c>
      <c r="AC13" s="39" t="s">
        <v>26</v>
      </c>
      <c r="AD13" s="39" t="s">
        <v>27</v>
      </c>
      <c r="AE13" s="39" t="s">
        <v>28</v>
      </c>
      <c r="AF13" s="39" t="s">
        <v>29</v>
      </c>
      <c r="AG13" s="39" t="s">
        <v>30</v>
      </c>
      <c r="AH13" s="39" t="s">
        <v>31</v>
      </c>
      <c r="AI13" s="39" t="s">
        <v>32</v>
      </c>
      <c r="AJ13" s="39" t="s">
        <v>33</v>
      </c>
      <c r="AK13" s="39" t="s">
        <v>34</v>
      </c>
      <c r="AL13" s="39" t="s">
        <v>35</v>
      </c>
      <c r="AM13" s="39" t="s">
        <v>36</v>
      </c>
      <c r="AN13" s="39" t="s">
        <v>37</v>
      </c>
      <c r="AO13" s="39" t="s">
        <v>38</v>
      </c>
      <c r="AP13" s="39" t="s">
        <v>39</v>
      </c>
      <c r="AQ13" s="39" t="s">
        <v>40</v>
      </c>
      <c r="AR13" s="39" t="s">
        <v>41</v>
      </c>
      <c r="AS13" s="39" t="s">
        <v>42</v>
      </c>
      <c r="AT13" s="39" t="s">
        <v>43</v>
      </c>
      <c r="AU13" s="39" t="s">
        <v>44</v>
      </c>
      <c r="AV13" s="39" t="s">
        <v>45</v>
      </c>
      <c r="AW13" s="39" t="s">
        <v>46</v>
      </c>
      <c r="AX13" s="39" t="s">
        <v>47</v>
      </c>
      <c r="AY13" s="39" t="s">
        <v>48</v>
      </c>
      <c r="AZ13" s="39" t="s">
        <v>49</v>
      </c>
      <c r="BA13" s="39" t="s">
        <v>50</v>
      </c>
      <c r="BB13" s="39" t="s">
        <v>51</v>
      </c>
      <c r="BC13" s="39" t="s">
        <v>52</v>
      </c>
      <c r="BD13" s="39" t="s">
        <v>53</v>
      </c>
      <c r="BE13" s="39" t="s">
        <v>54</v>
      </c>
      <c r="BF13" s="39" t="s">
        <v>55</v>
      </c>
      <c r="BG13" s="39" t="s">
        <v>56</v>
      </c>
      <c r="BH13" s="39" t="s">
        <v>57</v>
      </c>
      <c r="BI13" s="39" t="s">
        <v>58</v>
      </c>
      <c r="BJ13" s="41" t="s">
        <v>259</v>
      </c>
      <c r="BK13" s="41" t="s">
        <v>260</v>
      </c>
      <c r="BL13" s="42" t="s">
        <v>261</v>
      </c>
      <c r="BM13" s="41" t="s">
        <v>262</v>
      </c>
      <c r="BN13" s="41" t="s">
        <v>263</v>
      </c>
      <c r="BO13" s="19"/>
    </row>
    <row r="14" spans="1:67" s="21" customFormat="1" x14ac:dyDescent="0.2">
      <c r="A14" s="38" t="s">
        <v>269</v>
      </c>
      <c r="B14" s="39"/>
      <c r="C14" s="39" t="s">
        <v>270</v>
      </c>
      <c r="D14" s="39" t="s">
        <v>271</v>
      </c>
      <c r="E14" s="39" t="s">
        <v>272</v>
      </c>
      <c r="F14" s="39" t="s">
        <v>273</v>
      </c>
      <c r="G14" s="39" t="s">
        <v>274</v>
      </c>
      <c r="H14" s="39" t="s">
        <v>275</v>
      </c>
      <c r="I14" s="39" t="s">
        <v>168</v>
      </c>
      <c r="J14" s="39" t="s">
        <v>276</v>
      </c>
      <c r="K14" s="39" t="s">
        <v>277</v>
      </c>
      <c r="L14" s="39" t="s">
        <v>278</v>
      </c>
      <c r="M14" s="39" t="s">
        <v>279</v>
      </c>
      <c r="N14" s="39" t="s">
        <v>280</v>
      </c>
      <c r="O14" s="39" t="s">
        <v>281</v>
      </c>
      <c r="P14" s="39" t="s">
        <v>282</v>
      </c>
      <c r="Q14" s="39" t="s">
        <v>283</v>
      </c>
      <c r="R14" s="39" t="s">
        <v>284</v>
      </c>
      <c r="S14" s="39" t="s">
        <v>285</v>
      </c>
      <c r="T14" s="39" t="s">
        <v>286</v>
      </c>
      <c r="U14" s="39" t="s">
        <v>287</v>
      </c>
      <c r="V14" s="39" t="s">
        <v>288</v>
      </c>
      <c r="W14" s="39" t="s">
        <v>289</v>
      </c>
      <c r="X14" s="39" t="s">
        <v>290</v>
      </c>
      <c r="Y14" s="39" t="s">
        <v>291</v>
      </c>
      <c r="Z14" s="39" t="s">
        <v>292</v>
      </c>
      <c r="AA14" s="39" t="s">
        <v>243</v>
      </c>
      <c r="AB14" s="39" t="s">
        <v>293</v>
      </c>
      <c r="AC14" s="39" t="s">
        <v>294</v>
      </c>
      <c r="AD14" s="39" t="s">
        <v>295</v>
      </c>
      <c r="AE14" s="39" t="s">
        <v>296</v>
      </c>
      <c r="AF14" s="39" t="s">
        <v>297</v>
      </c>
      <c r="AG14" s="39" t="s">
        <v>298</v>
      </c>
      <c r="AH14" s="39" t="s">
        <v>299</v>
      </c>
      <c r="AI14" s="39" t="s">
        <v>300</v>
      </c>
      <c r="AJ14" s="39" t="s">
        <v>301</v>
      </c>
      <c r="AK14" s="39" t="s">
        <v>302</v>
      </c>
      <c r="AL14" s="39" t="s">
        <v>303</v>
      </c>
      <c r="AM14" s="39" t="s">
        <v>304</v>
      </c>
      <c r="AN14" s="39" t="s">
        <v>305</v>
      </c>
      <c r="AO14" s="39" t="s">
        <v>306</v>
      </c>
      <c r="AP14" s="39" t="s">
        <v>307</v>
      </c>
      <c r="AQ14" s="39" t="s">
        <v>308</v>
      </c>
      <c r="AR14" s="39" t="s">
        <v>309</v>
      </c>
      <c r="AS14" s="39" t="s">
        <v>244</v>
      </c>
      <c r="AT14" s="39" t="s">
        <v>310</v>
      </c>
      <c r="AU14" s="39" t="s">
        <v>311</v>
      </c>
      <c r="AV14" s="39" t="s">
        <v>312</v>
      </c>
      <c r="AW14" s="39" t="s">
        <v>313</v>
      </c>
      <c r="AX14" s="39" t="s">
        <v>314</v>
      </c>
      <c r="AY14" s="39" t="s">
        <v>245</v>
      </c>
      <c r="AZ14" s="39" t="s">
        <v>315</v>
      </c>
      <c r="BA14" s="39" t="s">
        <v>316</v>
      </c>
      <c r="BB14" s="39" t="s">
        <v>317</v>
      </c>
      <c r="BC14" s="39" t="s">
        <v>318</v>
      </c>
      <c r="BD14" s="39" t="s">
        <v>319</v>
      </c>
      <c r="BE14" s="39" t="s">
        <v>320</v>
      </c>
      <c r="BF14" s="39" t="s">
        <v>321</v>
      </c>
      <c r="BG14" s="39" t="s">
        <v>322</v>
      </c>
      <c r="BH14" s="39" t="s">
        <v>323</v>
      </c>
      <c r="BI14" s="39"/>
      <c r="BJ14" s="40"/>
      <c r="BK14" s="40"/>
      <c r="BL14" s="40"/>
      <c r="BM14" s="40"/>
      <c r="BN14" s="40"/>
    </row>
    <row r="15" spans="1:67" s="24" customFormat="1" x14ac:dyDescent="0.2">
      <c r="A15" s="1" t="s">
        <v>59</v>
      </c>
      <c r="B15" s="1" t="s">
        <v>60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3" t="s">
        <v>207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3" t="s">
        <v>208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2">
        <v>1</v>
      </c>
      <c r="BB15" s="2">
        <v>1</v>
      </c>
      <c r="BC15" s="2">
        <v>1</v>
      </c>
      <c r="BD15" s="2">
        <v>1</v>
      </c>
      <c r="BE15" s="23" t="s">
        <v>174</v>
      </c>
      <c r="BF15" s="2">
        <v>1</v>
      </c>
      <c r="BG15" s="23" t="s">
        <v>177</v>
      </c>
      <c r="BH15" s="2">
        <v>1</v>
      </c>
      <c r="BI15" s="2" t="s">
        <v>146</v>
      </c>
      <c r="BJ15" s="21">
        <v>0</v>
      </c>
      <c r="BK15" s="21">
        <v>4</v>
      </c>
      <c r="BL15" s="21">
        <f t="shared" ref="BL15:BL54" si="0">SUM(C15:BH15)</f>
        <v>54</v>
      </c>
      <c r="BM15" s="21">
        <v>0</v>
      </c>
      <c r="BN15" s="21">
        <v>11</v>
      </c>
      <c r="BO15" s="21"/>
    </row>
    <row r="16" spans="1:67" s="24" customFormat="1" x14ac:dyDescent="0.2">
      <c r="A16" s="1" t="s">
        <v>61</v>
      </c>
      <c r="B16" s="1" t="s">
        <v>62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 t="s">
        <v>63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6" t="s">
        <v>194</v>
      </c>
      <c r="AN16" s="2" t="s">
        <v>63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1</v>
      </c>
      <c r="AY16" s="2">
        <v>1</v>
      </c>
      <c r="AZ16" s="2">
        <v>1</v>
      </c>
      <c r="BA16" s="2">
        <v>1</v>
      </c>
      <c r="BB16" s="2">
        <v>1</v>
      </c>
      <c r="BC16" s="2">
        <v>1</v>
      </c>
      <c r="BD16" s="2">
        <v>1</v>
      </c>
      <c r="BE16" s="25" t="s">
        <v>163</v>
      </c>
      <c r="BF16" s="2">
        <v>1</v>
      </c>
      <c r="BG16" s="25" t="s">
        <v>164</v>
      </c>
      <c r="BH16" s="2">
        <v>1</v>
      </c>
      <c r="BI16" s="2" t="s">
        <v>146</v>
      </c>
      <c r="BJ16" s="21">
        <v>3</v>
      </c>
      <c r="BK16" s="21">
        <v>3</v>
      </c>
      <c r="BL16" s="21">
        <f t="shared" si="0"/>
        <v>53</v>
      </c>
      <c r="BM16" s="21">
        <v>3</v>
      </c>
      <c r="BN16" s="21">
        <v>3</v>
      </c>
      <c r="BO16" s="21"/>
    </row>
    <row r="17" spans="1:67" s="24" customFormat="1" x14ac:dyDescent="0.2">
      <c r="A17" s="1" t="s">
        <v>64</v>
      </c>
      <c r="B17" s="1" t="s">
        <v>65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3" t="s">
        <v>217</v>
      </c>
      <c r="AB17" s="2">
        <v>1</v>
      </c>
      <c r="AC17" s="2">
        <v>1</v>
      </c>
      <c r="AD17" s="2" t="s">
        <v>63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3" t="s">
        <v>223</v>
      </c>
      <c r="AN17" s="23" t="s">
        <v>217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>
        <v>1</v>
      </c>
      <c r="AU17" s="2">
        <v>1</v>
      </c>
      <c r="AV17" s="26" t="s">
        <v>219</v>
      </c>
      <c r="AW17" s="23" t="s">
        <v>223</v>
      </c>
      <c r="AX17" s="2">
        <v>1</v>
      </c>
      <c r="AY17" s="2">
        <v>1</v>
      </c>
      <c r="AZ17" s="2">
        <v>1</v>
      </c>
      <c r="BA17" s="2">
        <v>1</v>
      </c>
      <c r="BB17" s="2">
        <v>1</v>
      </c>
      <c r="BC17" s="2">
        <v>1</v>
      </c>
      <c r="BD17" s="2">
        <v>1</v>
      </c>
      <c r="BE17" s="23" t="s">
        <v>220</v>
      </c>
      <c r="BF17" s="2">
        <v>1</v>
      </c>
      <c r="BG17" s="23" t="s">
        <v>220</v>
      </c>
      <c r="BH17" s="2">
        <v>1</v>
      </c>
      <c r="BI17" s="2" t="s">
        <v>146</v>
      </c>
      <c r="BJ17" s="21">
        <v>1</v>
      </c>
      <c r="BK17" s="21">
        <v>7</v>
      </c>
      <c r="BL17" s="21">
        <f t="shared" si="0"/>
        <v>50</v>
      </c>
      <c r="BM17" s="21">
        <v>1</v>
      </c>
      <c r="BN17" s="21">
        <v>18</v>
      </c>
      <c r="BO17" s="21"/>
    </row>
    <row r="18" spans="1:67" s="24" customFormat="1" x14ac:dyDescent="0.2">
      <c r="A18" s="1" t="s">
        <v>66</v>
      </c>
      <c r="B18" s="1" t="s">
        <v>67</v>
      </c>
      <c r="C18" s="2" t="s">
        <v>63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 t="s">
        <v>63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3" t="s">
        <v>231</v>
      </c>
      <c r="AA18" s="23" t="s">
        <v>217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 t="s">
        <v>63</v>
      </c>
      <c r="AI18" s="2" t="s">
        <v>63</v>
      </c>
      <c r="AJ18" s="2" t="s">
        <v>63</v>
      </c>
      <c r="AK18" s="2">
        <v>1</v>
      </c>
      <c r="AL18" s="2">
        <v>1</v>
      </c>
      <c r="AM18" s="23" t="s">
        <v>205</v>
      </c>
      <c r="AN18" s="23" t="s">
        <v>220</v>
      </c>
      <c r="AO18" s="2">
        <v>1</v>
      </c>
      <c r="AP18" s="2">
        <v>1</v>
      </c>
      <c r="AQ18" s="2">
        <v>1</v>
      </c>
      <c r="AR18" s="2">
        <v>1</v>
      </c>
      <c r="AS18" s="2">
        <v>1</v>
      </c>
      <c r="AT18" s="2">
        <v>1</v>
      </c>
      <c r="AU18" s="2">
        <v>1</v>
      </c>
      <c r="AV18" s="2">
        <v>1</v>
      </c>
      <c r="AW18" s="2">
        <v>1</v>
      </c>
      <c r="AX18" s="2" t="s">
        <v>63</v>
      </c>
      <c r="AY18" s="2">
        <v>1</v>
      </c>
      <c r="AZ18" s="2">
        <v>1</v>
      </c>
      <c r="BA18" s="2" t="s">
        <v>63</v>
      </c>
      <c r="BB18" s="2">
        <v>1</v>
      </c>
      <c r="BC18" s="2">
        <v>1</v>
      </c>
      <c r="BD18" s="2">
        <v>1</v>
      </c>
      <c r="BE18" s="23" t="s">
        <v>217</v>
      </c>
      <c r="BF18" s="23" t="s">
        <v>217</v>
      </c>
      <c r="BG18" s="2" t="s">
        <v>63</v>
      </c>
      <c r="BH18" s="2">
        <v>1</v>
      </c>
      <c r="BI18" s="2" t="s">
        <v>146</v>
      </c>
      <c r="BJ18" s="21">
        <v>0</v>
      </c>
      <c r="BK18" s="21">
        <v>6</v>
      </c>
      <c r="BL18" s="21">
        <f t="shared" si="0"/>
        <v>44</v>
      </c>
      <c r="BM18" s="21">
        <v>0</v>
      </c>
      <c r="BN18" s="21">
        <v>16</v>
      </c>
      <c r="BO18" s="21"/>
    </row>
    <row r="19" spans="1:67" s="24" customFormat="1" x14ac:dyDescent="0.2">
      <c r="A19" s="1" t="s">
        <v>68</v>
      </c>
      <c r="B19" s="1" t="s">
        <v>69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 t="s">
        <v>63</v>
      </c>
      <c r="O19" s="2">
        <v>1</v>
      </c>
      <c r="P19" s="2">
        <v>1</v>
      </c>
      <c r="Q19" s="2" t="s">
        <v>63</v>
      </c>
      <c r="R19" s="2" t="s">
        <v>63</v>
      </c>
      <c r="S19" s="2">
        <v>1</v>
      </c>
      <c r="T19" s="2">
        <v>1</v>
      </c>
      <c r="U19" s="27" t="s">
        <v>201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3" t="s">
        <v>159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3" t="s">
        <v>159</v>
      </c>
      <c r="AN19" s="23" t="s">
        <v>202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 s="2">
        <v>1</v>
      </c>
      <c r="BD19" s="2">
        <v>1</v>
      </c>
      <c r="BE19" s="23" t="s">
        <v>158</v>
      </c>
      <c r="BF19" s="6" t="s">
        <v>194</v>
      </c>
      <c r="BG19" s="23" t="s">
        <v>174</v>
      </c>
      <c r="BH19" s="2">
        <v>1</v>
      </c>
      <c r="BI19" s="2" t="s">
        <v>146</v>
      </c>
      <c r="BJ19" s="21">
        <v>1</v>
      </c>
      <c r="BK19" s="21">
        <v>7</v>
      </c>
      <c r="BL19" s="21">
        <f t="shared" si="0"/>
        <v>48</v>
      </c>
      <c r="BM19" s="21">
        <v>1</v>
      </c>
      <c r="BN19" s="21">
        <v>11</v>
      </c>
      <c r="BO19" s="21"/>
    </row>
    <row r="20" spans="1:67" s="24" customFormat="1" x14ac:dyDescent="0.2">
      <c r="A20" s="1" t="s">
        <v>70</v>
      </c>
      <c r="B20" s="1" t="s">
        <v>71</v>
      </c>
      <c r="C20" s="2">
        <v>1</v>
      </c>
      <c r="D20" s="2">
        <v>1</v>
      </c>
      <c r="E20" s="2" t="s">
        <v>63</v>
      </c>
      <c r="F20" s="2">
        <v>1</v>
      </c>
      <c r="G20" s="2" t="s">
        <v>63</v>
      </c>
      <c r="H20" s="2">
        <v>1</v>
      </c>
      <c r="I20" s="2">
        <v>1</v>
      </c>
      <c r="J20" s="23" t="s">
        <v>220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 t="s">
        <v>63</v>
      </c>
      <c r="Q20" s="2">
        <v>1</v>
      </c>
      <c r="R20" s="2">
        <v>1</v>
      </c>
      <c r="S20" s="2" t="s">
        <v>63</v>
      </c>
      <c r="T20" s="2">
        <v>1</v>
      </c>
      <c r="U20" s="2">
        <v>1</v>
      </c>
      <c r="V20" s="2" t="s">
        <v>63</v>
      </c>
      <c r="W20" s="2">
        <v>1</v>
      </c>
      <c r="X20" s="2">
        <v>1</v>
      </c>
      <c r="Y20" s="2">
        <v>1</v>
      </c>
      <c r="Z20" s="2" t="s">
        <v>63</v>
      </c>
      <c r="AA20" s="23" t="s">
        <v>222</v>
      </c>
      <c r="AB20" s="2">
        <v>1</v>
      </c>
      <c r="AC20" s="23" t="s">
        <v>217</v>
      </c>
      <c r="AD20" s="2">
        <v>1</v>
      </c>
      <c r="AE20" s="2">
        <v>1</v>
      </c>
      <c r="AF20" s="2" t="s">
        <v>63</v>
      </c>
      <c r="AG20" s="2">
        <v>1</v>
      </c>
      <c r="AH20" s="2" t="s">
        <v>63</v>
      </c>
      <c r="AI20" s="2" t="s">
        <v>63</v>
      </c>
      <c r="AJ20" s="2">
        <v>1</v>
      </c>
      <c r="AK20" s="2">
        <v>1</v>
      </c>
      <c r="AL20" s="2">
        <v>1</v>
      </c>
      <c r="AM20" s="23" t="s">
        <v>225</v>
      </c>
      <c r="AN20" s="23" t="s">
        <v>207</v>
      </c>
      <c r="AO20" s="2">
        <v>1</v>
      </c>
      <c r="AP20" s="2">
        <v>1</v>
      </c>
      <c r="AQ20" s="2" t="s">
        <v>63</v>
      </c>
      <c r="AR20" s="2">
        <v>1</v>
      </c>
      <c r="AS20" s="2">
        <v>1</v>
      </c>
      <c r="AT20" s="2" t="s">
        <v>63</v>
      </c>
      <c r="AU20" s="2">
        <v>1</v>
      </c>
      <c r="AV20" s="2">
        <v>1</v>
      </c>
      <c r="AW20" s="2">
        <v>1</v>
      </c>
      <c r="AX20" s="2">
        <v>1</v>
      </c>
      <c r="AY20" s="2">
        <v>1</v>
      </c>
      <c r="AZ20" s="23" t="s">
        <v>207</v>
      </c>
      <c r="BA20" s="23" t="s">
        <v>226</v>
      </c>
      <c r="BB20" s="2">
        <v>1</v>
      </c>
      <c r="BC20" s="2" t="s">
        <v>63</v>
      </c>
      <c r="BD20" s="2">
        <v>1</v>
      </c>
      <c r="BE20" s="23" t="s">
        <v>220</v>
      </c>
      <c r="BF20" s="2">
        <v>1</v>
      </c>
      <c r="BG20" s="23" t="s">
        <v>207</v>
      </c>
      <c r="BH20" s="2">
        <v>1</v>
      </c>
      <c r="BI20" s="2" t="s">
        <v>146</v>
      </c>
      <c r="BJ20" s="21">
        <v>0</v>
      </c>
      <c r="BK20" s="21">
        <v>9</v>
      </c>
      <c r="BL20" s="21">
        <f t="shared" si="0"/>
        <v>37</v>
      </c>
      <c r="BM20" s="21">
        <v>0</v>
      </c>
      <c r="BN20" s="21">
        <v>17</v>
      </c>
      <c r="BO20" s="21"/>
    </row>
    <row r="21" spans="1:67" s="24" customFormat="1" x14ac:dyDescent="0.2">
      <c r="A21" s="1" t="s">
        <v>72</v>
      </c>
      <c r="B21" s="1" t="s">
        <v>73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 t="s">
        <v>63</v>
      </c>
      <c r="P21" s="2">
        <v>1</v>
      </c>
      <c r="Q21" s="2">
        <v>1</v>
      </c>
      <c r="R21" s="2">
        <v>1</v>
      </c>
      <c r="S21" s="2" t="s">
        <v>63</v>
      </c>
      <c r="T21" s="2">
        <v>1</v>
      </c>
      <c r="U21" s="2">
        <v>1</v>
      </c>
      <c r="V21" s="2">
        <v>1</v>
      </c>
      <c r="W21" s="2">
        <v>1</v>
      </c>
      <c r="X21" s="23" t="s">
        <v>158</v>
      </c>
      <c r="Y21" s="2">
        <v>1</v>
      </c>
      <c r="Z21" s="2">
        <v>1</v>
      </c>
      <c r="AA21" s="2" t="s">
        <v>63</v>
      </c>
      <c r="AB21" s="2">
        <v>1</v>
      </c>
      <c r="AC21" s="2">
        <v>1</v>
      </c>
      <c r="AD21" s="2">
        <v>1</v>
      </c>
      <c r="AE21" s="23" t="s">
        <v>158</v>
      </c>
      <c r="AF21" s="2">
        <v>1</v>
      </c>
      <c r="AG21" s="2" t="s">
        <v>63</v>
      </c>
      <c r="AH21" s="2">
        <v>1</v>
      </c>
      <c r="AI21" s="6" t="s">
        <v>173</v>
      </c>
      <c r="AJ21" s="2">
        <v>1</v>
      </c>
      <c r="AK21" s="2">
        <v>1</v>
      </c>
      <c r="AL21" s="2">
        <v>1</v>
      </c>
      <c r="AM21" s="23" t="s">
        <v>158</v>
      </c>
      <c r="AN21" s="23" t="s">
        <v>189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 t="s">
        <v>63</v>
      </c>
      <c r="AV21" s="2">
        <v>1</v>
      </c>
      <c r="AW21" s="2" t="s">
        <v>63</v>
      </c>
      <c r="AX21" s="2" t="s">
        <v>63</v>
      </c>
      <c r="AY21" s="2">
        <v>1</v>
      </c>
      <c r="AZ21" s="2">
        <v>1</v>
      </c>
      <c r="BA21" s="2">
        <v>1</v>
      </c>
      <c r="BB21" s="2">
        <v>1</v>
      </c>
      <c r="BC21" s="2">
        <v>1</v>
      </c>
      <c r="BD21" s="2" t="s">
        <v>63</v>
      </c>
      <c r="BE21" s="23" t="s">
        <v>159</v>
      </c>
      <c r="BF21" s="2">
        <v>1</v>
      </c>
      <c r="BG21" s="2" t="s">
        <v>63</v>
      </c>
      <c r="BH21" s="2">
        <v>1</v>
      </c>
      <c r="BI21" s="2" t="s">
        <v>146</v>
      </c>
      <c r="BJ21" s="2">
        <v>1</v>
      </c>
      <c r="BK21" s="21">
        <v>6</v>
      </c>
      <c r="BL21" s="21">
        <f t="shared" si="0"/>
        <v>43</v>
      </c>
      <c r="BM21" s="2">
        <v>1</v>
      </c>
      <c r="BN21" s="21">
        <v>7</v>
      </c>
    </row>
    <row r="22" spans="1:67" s="24" customFormat="1" x14ac:dyDescent="0.2">
      <c r="A22" s="1" t="s">
        <v>74</v>
      </c>
      <c r="B22" s="1" t="s">
        <v>75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3" t="s">
        <v>158</v>
      </c>
      <c r="M22" s="23" t="s">
        <v>190</v>
      </c>
      <c r="N22" s="23" t="s">
        <v>175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5" t="s">
        <v>160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3" t="s">
        <v>191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 t="s">
        <v>63</v>
      </c>
      <c r="AK22" s="2">
        <v>1</v>
      </c>
      <c r="AL22" s="2">
        <v>1</v>
      </c>
      <c r="AM22" s="23" t="s">
        <v>159</v>
      </c>
      <c r="AN22" s="23" t="s">
        <v>192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1</v>
      </c>
      <c r="AW22" s="23" t="s">
        <v>159</v>
      </c>
      <c r="AX22" s="2" t="s">
        <v>63</v>
      </c>
      <c r="AY22" s="2">
        <v>1</v>
      </c>
      <c r="AZ22" s="2">
        <v>1</v>
      </c>
      <c r="BA22" s="2">
        <v>1</v>
      </c>
      <c r="BB22" s="2" t="s">
        <v>63</v>
      </c>
      <c r="BC22" s="2" t="s">
        <v>63</v>
      </c>
      <c r="BD22" s="2">
        <v>1</v>
      </c>
      <c r="BE22" s="23" t="s">
        <v>159</v>
      </c>
      <c r="BF22" s="2">
        <v>1</v>
      </c>
      <c r="BG22" s="23" t="s">
        <v>193</v>
      </c>
      <c r="BH22" s="2">
        <v>1</v>
      </c>
      <c r="BI22" s="2" t="s">
        <v>146</v>
      </c>
      <c r="BJ22" s="21">
        <v>1</v>
      </c>
      <c r="BK22" s="21">
        <v>10</v>
      </c>
      <c r="BL22" s="21">
        <f t="shared" si="0"/>
        <v>44</v>
      </c>
      <c r="BM22" s="21">
        <v>1</v>
      </c>
      <c r="BN22" s="21">
        <v>18</v>
      </c>
      <c r="BO22" s="21"/>
    </row>
    <row r="23" spans="1:67" s="24" customFormat="1" x14ac:dyDescent="0.2">
      <c r="A23" s="1" t="s">
        <v>76</v>
      </c>
      <c r="B23" s="1" t="s">
        <v>77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3" t="s">
        <v>217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3" t="s">
        <v>222</v>
      </c>
      <c r="AK23" s="2">
        <v>1</v>
      </c>
      <c r="AL23" s="2">
        <v>1</v>
      </c>
      <c r="AM23" s="2">
        <v>1</v>
      </c>
      <c r="AN23" s="23" t="s">
        <v>222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3" t="s">
        <v>217</v>
      </c>
      <c r="AW23" s="2">
        <v>1</v>
      </c>
      <c r="AX23" s="2" t="s">
        <v>63</v>
      </c>
      <c r="AY23" s="2">
        <v>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3" t="s">
        <v>207</v>
      </c>
      <c r="BF23" s="2">
        <v>1</v>
      </c>
      <c r="BG23" s="23" t="s">
        <v>222</v>
      </c>
      <c r="BH23" s="2">
        <v>1</v>
      </c>
      <c r="BI23" s="2" t="s">
        <v>146</v>
      </c>
      <c r="BJ23" s="21">
        <v>0</v>
      </c>
      <c r="BK23" s="21">
        <v>6</v>
      </c>
      <c r="BL23" s="21">
        <f t="shared" si="0"/>
        <v>51</v>
      </c>
      <c r="BM23" s="21">
        <v>0</v>
      </c>
      <c r="BN23" s="21">
        <v>9</v>
      </c>
      <c r="BO23" s="21"/>
    </row>
    <row r="24" spans="1:67" s="24" customFormat="1" x14ac:dyDescent="0.2">
      <c r="A24" s="1" t="s">
        <v>78</v>
      </c>
      <c r="B24" s="1" t="s">
        <v>79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 t="s">
        <v>63</v>
      </c>
      <c r="Y24" s="2">
        <v>1</v>
      </c>
      <c r="Z24" s="2">
        <v>1</v>
      </c>
      <c r="AA24" s="23" t="s">
        <v>159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3" t="s">
        <v>159</v>
      </c>
      <c r="AK24" s="2">
        <v>1</v>
      </c>
      <c r="AL24" s="2">
        <v>1</v>
      </c>
      <c r="AM24" s="2">
        <v>1</v>
      </c>
      <c r="AN24" s="23" t="s">
        <v>206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1</v>
      </c>
      <c r="AY24" s="2">
        <v>1</v>
      </c>
      <c r="AZ24" s="2">
        <v>1</v>
      </c>
      <c r="BA24" s="2">
        <v>1</v>
      </c>
      <c r="BB24" s="27" t="s">
        <v>176</v>
      </c>
      <c r="BC24" s="2">
        <v>1</v>
      </c>
      <c r="BD24" s="2">
        <v>1</v>
      </c>
      <c r="BE24" s="28" t="s">
        <v>175</v>
      </c>
      <c r="BF24" s="2">
        <v>1</v>
      </c>
      <c r="BG24" s="2" t="s">
        <v>63</v>
      </c>
      <c r="BH24" s="2">
        <v>1</v>
      </c>
      <c r="BI24" s="2" t="s">
        <v>146</v>
      </c>
      <c r="BJ24" s="21">
        <v>0</v>
      </c>
      <c r="BK24" s="21">
        <v>5</v>
      </c>
      <c r="BL24" s="21">
        <f t="shared" si="0"/>
        <v>51</v>
      </c>
      <c r="BM24" s="21">
        <v>1</v>
      </c>
      <c r="BN24" s="21">
        <v>13</v>
      </c>
      <c r="BO24" s="21"/>
    </row>
    <row r="25" spans="1:67" s="24" customFormat="1" x14ac:dyDescent="0.2">
      <c r="A25" s="3" t="s">
        <v>80</v>
      </c>
      <c r="B25" s="1" t="s">
        <v>81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3" t="s">
        <v>222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 t="s">
        <v>63</v>
      </c>
      <c r="AY25" s="2">
        <v>1</v>
      </c>
      <c r="AZ25" s="2">
        <v>1</v>
      </c>
      <c r="BA25" s="2">
        <v>1</v>
      </c>
      <c r="BB25" s="2">
        <v>1</v>
      </c>
      <c r="BC25" s="2">
        <v>1</v>
      </c>
      <c r="BD25" s="2">
        <v>1</v>
      </c>
      <c r="BE25" s="2">
        <v>1</v>
      </c>
      <c r="BF25" s="2">
        <v>1</v>
      </c>
      <c r="BG25" s="6" t="s">
        <v>219</v>
      </c>
      <c r="BH25" s="2">
        <v>1</v>
      </c>
      <c r="BI25" s="2" t="s">
        <v>146</v>
      </c>
      <c r="BJ25" s="21">
        <v>1</v>
      </c>
      <c r="BK25" s="21">
        <v>2</v>
      </c>
      <c r="BL25" s="21">
        <f t="shared" si="0"/>
        <v>55</v>
      </c>
      <c r="BM25" s="21">
        <v>1</v>
      </c>
      <c r="BN25" s="21">
        <v>3</v>
      </c>
      <c r="BO25" s="21"/>
    </row>
    <row r="26" spans="1:67" s="24" customFormat="1" x14ac:dyDescent="0.2">
      <c r="A26" s="3" t="s">
        <v>83</v>
      </c>
      <c r="B26" s="1" t="s">
        <v>84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 t="s">
        <v>63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3" t="s">
        <v>217</v>
      </c>
      <c r="U26" s="2" t="s">
        <v>63</v>
      </c>
      <c r="V26" s="2">
        <v>1</v>
      </c>
      <c r="W26" s="2" t="s">
        <v>63</v>
      </c>
      <c r="X26" s="2" t="s">
        <v>63</v>
      </c>
      <c r="Y26" s="2">
        <v>1</v>
      </c>
      <c r="Z26" s="2" t="s">
        <v>63</v>
      </c>
      <c r="AA26" s="2" t="s">
        <v>63</v>
      </c>
      <c r="AB26" s="2">
        <v>1</v>
      </c>
      <c r="AC26" s="2" t="s">
        <v>63</v>
      </c>
      <c r="AD26" s="2">
        <v>1</v>
      </c>
      <c r="AE26" s="2" t="s">
        <v>63</v>
      </c>
      <c r="AF26" s="2">
        <v>1</v>
      </c>
      <c r="AG26" s="2">
        <v>1</v>
      </c>
      <c r="AH26" s="2">
        <v>1</v>
      </c>
      <c r="AI26" s="2">
        <v>1</v>
      </c>
      <c r="AJ26" s="2" t="s">
        <v>63</v>
      </c>
      <c r="AK26" s="2">
        <v>1</v>
      </c>
      <c r="AL26" s="2" t="s">
        <v>63</v>
      </c>
      <c r="AM26" s="23" t="s">
        <v>217</v>
      </c>
      <c r="AN26" s="23" t="s">
        <v>217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T26" s="2">
        <v>1</v>
      </c>
      <c r="AU26" s="23" t="s">
        <v>217</v>
      </c>
      <c r="AV26" s="2" t="s">
        <v>63</v>
      </c>
      <c r="AW26" s="2" t="s">
        <v>63</v>
      </c>
      <c r="AX26" s="2" t="s">
        <v>63</v>
      </c>
      <c r="AY26" s="2" t="s">
        <v>63</v>
      </c>
      <c r="AZ26" s="2">
        <v>1</v>
      </c>
      <c r="BA26" s="2">
        <v>1</v>
      </c>
      <c r="BB26" s="2" t="s">
        <v>63</v>
      </c>
      <c r="BC26" s="2">
        <v>1</v>
      </c>
      <c r="BD26" s="2">
        <v>1</v>
      </c>
      <c r="BE26" s="23" t="s">
        <v>220</v>
      </c>
      <c r="BF26" s="2">
        <v>1</v>
      </c>
      <c r="BG26" s="2" t="s">
        <v>63</v>
      </c>
      <c r="BH26" s="23" t="s">
        <v>207</v>
      </c>
      <c r="BI26" s="2" t="s">
        <v>146</v>
      </c>
      <c r="BJ26" s="21">
        <v>0</v>
      </c>
      <c r="BK26" s="21">
        <v>6</v>
      </c>
      <c r="BL26" s="21">
        <f t="shared" si="0"/>
        <v>36</v>
      </c>
      <c r="BM26" s="21">
        <v>0</v>
      </c>
      <c r="BN26" s="21">
        <v>7</v>
      </c>
      <c r="BO26" s="21"/>
    </row>
    <row r="27" spans="1:67" s="24" customFormat="1" x14ac:dyDescent="0.2">
      <c r="A27" s="3" t="s">
        <v>86</v>
      </c>
      <c r="B27" s="1" t="s">
        <v>87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6" t="s">
        <v>219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6" t="s">
        <v>219</v>
      </c>
      <c r="AO27" s="2" t="s">
        <v>63</v>
      </c>
      <c r="AP27" s="2">
        <v>1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1</v>
      </c>
      <c r="AW27" s="2" t="s">
        <v>82</v>
      </c>
      <c r="AX27" s="2">
        <v>1</v>
      </c>
      <c r="AY27" s="2">
        <v>1</v>
      </c>
      <c r="AZ27" s="2">
        <v>1</v>
      </c>
      <c r="BA27" s="2">
        <v>1</v>
      </c>
      <c r="BB27" s="2">
        <v>1</v>
      </c>
      <c r="BC27" s="2">
        <v>1</v>
      </c>
      <c r="BD27" s="2">
        <v>1</v>
      </c>
      <c r="BE27" s="2">
        <v>1</v>
      </c>
      <c r="BF27" s="2">
        <v>1</v>
      </c>
      <c r="BG27" s="6" t="s">
        <v>219</v>
      </c>
      <c r="BH27" s="2">
        <v>1</v>
      </c>
      <c r="BI27" s="2" t="s">
        <v>146</v>
      </c>
      <c r="BJ27" s="21">
        <v>3</v>
      </c>
      <c r="BK27" s="21">
        <v>3</v>
      </c>
      <c r="BL27" s="21">
        <f t="shared" si="0"/>
        <v>53</v>
      </c>
      <c r="BM27" s="21">
        <v>3</v>
      </c>
      <c r="BN27" s="21">
        <v>3</v>
      </c>
      <c r="BO27" s="21"/>
    </row>
    <row r="28" spans="1:67" s="24" customFormat="1" x14ac:dyDescent="0.2">
      <c r="A28" s="3" t="s">
        <v>88</v>
      </c>
      <c r="B28" s="1" t="s">
        <v>89</v>
      </c>
      <c r="C28" s="2">
        <v>1</v>
      </c>
      <c r="D28" s="2" t="s">
        <v>63</v>
      </c>
      <c r="E28" s="2">
        <v>1</v>
      </c>
      <c r="F28" s="2">
        <v>1</v>
      </c>
      <c r="G28" s="2">
        <v>1</v>
      </c>
      <c r="H28" s="2" t="s">
        <v>63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 t="s">
        <v>63</v>
      </c>
      <c r="O28" s="2">
        <v>1</v>
      </c>
      <c r="P28" s="23" t="s">
        <v>207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4">
        <v>1</v>
      </c>
      <c r="W28" s="2">
        <v>1</v>
      </c>
      <c r="X28" s="23" t="s">
        <v>207</v>
      </c>
      <c r="Y28" s="2">
        <v>1</v>
      </c>
      <c r="Z28" s="2" t="s">
        <v>63</v>
      </c>
      <c r="AA28" s="23" t="s">
        <v>228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 t="s">
        <v>63</v>
      </c>
      <c r="AK28" s="2">
        <v>1</v>
      </c>
      <c r="AL28" s="2">
        <v>1</v>
      </c>
      <c r="AM28" s="23" t="s">
        <v>227</v>
      </c>
      <c r="AN28" s="23" t="s">
        <v>230</v>
      </c>
      <c r="AO28" s="2">
        <v>1</v>
      </c>
      <c r="AP28" s="2" t="s">
        <v>63</v>
      </c>
      <c r="AQ28" s="2">
        <v>1</v>
      </c>
      <c r="AR28" s="2" t="s">
        <v>63</v>
      </c>
      <c r="AS28" s="2" t="s">
        <v>63</v>
      </c>
      <c r="AT28" s="2">
        <v>1</v>
      </c>
      <c r="AU28" s="2">
        <v>1</v>
      </c>
      <c r="AV28" s="2">
        <v>1</v>
      </c>
      <c r="AW28" s="2" t="s">
        <v>63</v>
      </c>
      <c r="AX28" s="23" t="s">
        <v>207</v>
      </c>
      <c r="AY28" s="2">
        <v>1</v>
      </c>
      <c r="AZ28" s="2">
        <v>1</v>
      </c>
      <c r="BA28" s="2">
        <v>1</v>
      </c>
      <c r="BB28" s="23" t="s">
        <v>217</v>
      </c>
      <c r="BC28" s="2">
        <v>1</v>
      </c>
      <c r="BD28" s="2">
        <v>1</v>
      </c>
      <c r="BE28" s="23" t="s">
        <v>225</v>
      </c>
      <c r="BF28" s="23" t="s">
        <v>222</v>
      </c>
      <c r="BG28" s="2" t="s">
        <v>63</v>
      </c>
      <c r="BH28" s="2">
        <v>1</v>
      </c>
      <c r="BI28" s="2" t="s">
        <v>146</v>
      </c>
      <c r="BJ28" s="21">
        <v>0</v>
      </c>
      <c r="BK28" s="21">
        <v>9</v>
      </c>
      <c r="BL28" s="21">
        <f t="shared" si="0"/>
        <v>39</v>
      </c>
      <c r="BM28" s="21">
        <v>0</v>
      </c>
      <c r="BN28" s="21">
        <v>20</v>
      </c>
      <c r="BO28" s="21"/>
    </row>
    <row r="29" spans="1:67" s="24" customFormat="1" x14ac:dyDescent="0.2">
      <c r="A29" s="3" t="s">
        <v>90</v>
      </c>
      <c r="B29" s="1" t="s">
        <v>91</v>
      </c>
      <c r="C29" s="23" t="s">
        <v>158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3" t="s">
        <v>158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 t="s">
        <v>63</v>
      </c>
      <c r="Q29" s="2" t="s">
        <v>63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3" t="s">
        <v>186</v>
      </c>
      <c r="AB29" s="23" t="s">
        <v>156</v>
      </c>
      <c r="AC29" s="2">
        <v>1</v>
      </c>
      <c r="AD29" s="2">
        <v>1</v>
      </c>
      <c r="AE29" s="2">
        <v>1</v>
      </c>
      <c r="AF29" s="2" t="s">
        <v>63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3" t="s">
        <v>187</v>
      </c>
      <c r="AN29" s="23" t="s">
        <v>158</v>
      </c>
      <c r="AO29" s="23" t="s">
        <v>188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2">
        <v>1</v>
      </c>
      <c r="AV29" s="2">
        <v>1</v>
      </c>
      <c r="AW29" s="2">
        <v>1</v>
      </c>
      <c r="AX29" s="2">
        <v>1</v>
      </c>
      <c r="AY29" s="2">
        <v>1</v>
      </c>
      <c r="AZ29" s="2">
        <v>1</v>
      </c>
      <c r="BA29" s="2">
        <v>1</v>
      </c>
      <c r="BB29" s="2">
        <v>1</v>
      </c>
      <c r="BC29" s="2">
        <v>1</v>
      </c>
      <c r="BD29" s="2">
        <v>1</v>
      </c>
      <c r="BE29" s="23" t="s">
        <v>157</v>
      </c>
      <c r="BF29" s="2">
        <v>1</v>
      </c>
      <c r="BG29" s="23" t="s">
        <v>158</v>
      </c>
      <c r="BH29" s="2">
        <v>1</v>
      </c>
      <c r="BI29" s="2" t="s">
        <v>146</v>
      </c>
      <c r="BJ29" s="21">
        <v>0</v>
      </c>
      <c r="BK29" s="21">
        <v>9</v>
      </c>
      <c r="BL29" s="21">
        <f t="shared" si="0"/>
        <v>46</v>
      </c>
      <c r="BM29" s="21">
        <v>0</v>
      </c>
      <c r="BN29" s="21">
        <v>21</v>
      </c>
    </row>
    <row r="30" spans="1:67" s="24" customFormat="1" x14ac:dyDescent="0.2">
      <c r="A30" s="3" t="s">
        <v>92</v>
      </c>
      <c r="B30" s="1" t="s">
        <v>93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3" t="s">
        <v>217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3" t="s">
        <v>229</v>
      </c>
      <c r="Y30" s="2">
        <v>1</v>
      </c>
      <c r="Z30" s="2">
        <v>1</v>
      </c>
      <c r="AA30" s="23" t="s">
        <v>217</v>
      </c>
      <c r="AB30" s="23" t="s">
        <v>227</v>
      </c>
      <c r="AC30" s="2">
        <v>1</v>
      </c>
      <c r="AD30" s="2">
        <v>1</v>
      </c>
      <c r="AE30" s="2">
        <v>1</v>
      </c>
      <c r="AF30" s="23" t="s">
        <v>227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3" t="s">
        <v>217</v>
      </c>
      <c r="AN30" s="23" t="s">
        <v>242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T30" s="2">
        <v>1</v>
      </c>
      <c r="AU30" s="2">
        <v>1</v>
      </c>
      <c r="AV30" s="2">
        <v>1</v>
      </c>
      <c r="AW30" s="23" t="s">
        <v>218</v>
      </c>
      <c r="AX30" s="23" t="s">
        <v>218</v>
      </c>
      <c r="AY30" s="2">
        <v>1</v>
      </c>
      <c r="AZ30" s="2">
        <v>1</v>
      </c>
      <c r="BA30" s="2">
        <v>1</v>
      </c>
      <c r="BB30" s="2">
        <v>1</v>
      </c>
      <c r="BC30" s="2">
        <v>1</v>
      </c>
      <c r="BD30" s="2">
        <v>1</v>
      </c>
      <c r="BE30" s="23" t="s">
        <v>218</v>
      </c>
      <c r="BF30" s="2">
        <v>1</v>
      </c>
      <c r="BG30" s="23" t="s">
        <v>238</v>
      </c>
      <c r="BH30" s="2">
        <v>1</v>
      </c>
      <c r="BI30" s="2" t="s">
        <v>146</v>
      </c>
      <c r="BJ30" s="21">
        <v>0</v>
      </c>
      <c r="BK30" s="21">
        <v>11</v>
      </c>
      <c r="BL30" s="21">
        <f t="shared" si="0"/>
        <v>47</v>
      </c>
      <c r="BM30" s="21">
        <v>0</v>
      </c>
      <c r="BN30" s="21">
        <v>31</v>
      </c>
      <c r="BO30" s="21"/>
    </row>
    <row r="31" spans="1:67" s="24" customFormat="1" x14ac:dyDescent="0.2">
      <c r="A31" s="3" t="s">
        <v>94</v>
      </c>
      <c r="B31" s="1" t="s">
        <v>95</v>
      </c>
      <c r="C31" s="2" t="s">
        <v>63</v>
      </c>
      <c r="D31" s="2">
        <v>1</v>
      </c>
      <c r="E31" s="2">
        <v>1</v>
      </c>
      <c r="F31" s="2" t="s">
        <v>63</v>
      </c>
      <c r="G31" s="23" t="s">
        <v>225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 t="s">
        <v>63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 t="s">
        <v>63</v>
      </c>
      <c r="AC31" s="2">
        <v>1</v>
      </c>
      <c r="AD31" s="2" t="s">
        <v>63</v>
      </c>
      <c r="AE31" s="2" t="s">
        <v>63</v>
      </c>
      <c r="AF31" s="2" t="s">
        <v>63</v>
      </c>
      <c r="AG31" s="2">
        <v>1</v>
      </c>
      <c r="AH31" s="2">
        <v>1</v>
      </c>
      <c r="AI31" s="2">
        <v>1</v>
      </c>
      <c r="AJ31" s="23" t="s">
        <v>217</v>
      </c>
      <c r="AK31" s="2">
        <v>1</v>
      </c>
      <c r="AL31" s="2" t="s">
        <v>63</v>
      </c>
      <c r="AM31" s="23" t="s">
        <v>217</v>
      </c>
      <c r="AN31" s="23" t="s">
        <v>232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 s="2">
        <v>1</v>
      </c>
      <c r="AV31" s="2">
        <v>1</v>
      </c>
      <c r="AW31" s="2" t="s">
        <v>63</v>
      </c>
      <c r="AX31" s="2" t="s">
        <v>63</v>
      </c>
      <c r="AY31" s="2">
        <v>1</v>
      </c>
      <c r="AZ31" s="2" t="s">
        <v>63</v>
      </c>
      <c r="BA31" s="2">
        <v>1</v>
      </c>
      <c r="BB31" s="2">
        <v>1</v>
      </c>
      <c r="BC31" s="2">
        <v>1</v>
      </c>
      <c r="BD31" s="2" t="s">
        <v>63</v>
      </c>
      <c r="BE31" s="23" t="s">
        <v>207</v>
      </c>
      <c r="BF31" s="2">
        <v>1</v>
      </c>
      <c r="BG31" s="2" t="s">
        <v>63</v>
      </c>
      <c r="BH31" s="2" t="s">
        <v>63</v>
      </c>
      <c r="BI31" s="2" t="s">
        <v>146</v>
      </c>
      <c r="BJ31" s="21">
        <v>0</v>
      </c>
      <c r="BK31" s="21">
        <v>5</v>
      </c>
      <c r="BL31" s="21">
        <f t="shared" si="0"/>
        <v>39</v>
      </c>
      <c r="BM31" s="21">
        <v>0</v>
      </c>
      <c r="BN31" s="21">
        <v>12</v>
      </c>
      <c r="BO31" s="21"/>
    </row>
    <row r="32" spans="1:67" s="24" customFormat="1" x14ac:dyDescent="0.2">
      <c r="A32" s="3" t="s">
        <v>96</v>
      </c>
      <c r="B32" s="1" t="s">
        <v>97</v>
      </c>
      <c r="C32" s="2">
        <v>1</v>
      </c>
      <c r="D32" s="6" t="s">
        <v>219</v>
      </c>
      <c r="E32" s="2" t="s">
        <v>63</v>
      </c>
      <c r="F32" s="6" t="s">
        <v>219</v>
      </c>
      <c r="G32" s="2">
        <v>1</v>
      </c>
      <c r="H32" s="6" t="s">
        <v>219</v>
      </c>
      <c r="I32" s="2">
        <v>1</v>
      </c>
      <c r="J32" s="2">
        <v>1</v>
      </c>
      <c r="K32" s="2">
        <v>1</v>
      </c>
      <c r="L32" s="2" t="s">
        <v>63</v>
      </c>
      <c r="M32" s="2">
        <v>1</v>
      </c>
      <c r="N32" s="2" t="s">
        <v>63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3" t="s">
        <v>224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 t="s">
        <v>63</v>
      </c>
      <c r="AA32" s="23" t="s">
        <v>217</v>
      </c>
      <c r="AB32" s="2">
        <v>1</v>
      </c>
      <c r="AC32" s="2" t="s">
        <v>63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 t="s">
        <v>63</v>
      </c>
      <c r="AK32" s="2">
        <v>1</v>
      </c>
      <c r="AL32" s="2">
        <v>1</v>
      </c>
      <c r="AM32" s="23" t="s">
        <v>207</v>
      </c>
      <c r="AN32" s="23" t="s">
        <v>225</v>
      </c>
      <c r="AO32" s="2">
        <v>1</v>
      </c>
      <c r="AP32" s="2">
        <v>1</v>
      </c>
      <c r="AQ32" s="23" t="s">
        <v>226</v>
      </c>
      <c r="AR32" s="6" t="s">
        <v>219</v>
      </c>
      <c r="AS32" s="6" t="s">
        <v>219</v>
      </c>
      <c r="AT32" s="2">
        <v>1</v>
      </c>
      <c r="AU32" s="2" t="s">
        <v>63</v>
      </c>
      <c r="AV32" s="23" t="s">
        <v>207</v>
      </c>
      <c r="AW32" s="2">
        <v>1</v>
      </c>
      <c r="AX32" s="2">
        <v>1</v>
      </c>
      <c r="AY32" s="2" t="s">
        <v>63</v>
      </c>
      <c r="AZ32" s="2">
        <v>1</v>
      </c>
      <c r="BA32" s="2" t="s">
        <v>63</v>
      </c>
      <c r="BB32" s="2">
        <v>1</v>
      </c>
      <c r="BC32" s="2">
        <v>1</v>
      </c>
      <c r="BD32" s="2">
        <v>1</v>
      </c>
      <c r="BE32" s="23" t="s">
        <v>227</v>
      </c>
      <c r="BF32" s="2">
        <v>1</v>
      </c>
      <c r="BG32" s="2" t="s">
        <v>63</v>
      </c>
      <c r="BH32" s="6" t="s">
        <v>219</v>
      </c>
      <c r="BI32" s="2" t="s">
        <v>146</v>
      </c>
      <c r="BJ32" s="21">
        <v>6</v>
      </c>
      <c r="BK32" s="21">
        <v>13</v>
      </c>
      <c r="BL32" s="21">
        <f t="shared" si="0"/>
        <v>35</v>
      </c>
      <c r="BM32" s="21">
        <v>6</v>
      </c>
      <c r="BN32" s="21">
        <v>27</v>
      </c>
      <c r="BO32" s="21"/>
    </row>
    <row r="33" spans="1:67" s="24" customFormat="1" x14ac:dyDescent="0.2">
      <c r="A33" s="3" t="s">
        <v>98</v>
      </c>
      <c r="B33" s="1" t="s">
        <v>99</v>
      </c>
      <c r="C33" s="2" t="s">
        <v>63</v>
      </c>
      <c r="D33" s="2">
        <v>1</v>
      </c>
      <c r="E33" s="2" t="s">
        <v>63</v>
      </c>
      <c r="F33" s="2">
        <v>1</v>
      </c>
      <c r="G33" s="2" t="s">
        <v>63</v>
      </c>
      <c r="H33" s="2">
        <v>1</v>
      </c>
      <c r="I33" s="2" t="s">
        <v>63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 t="s">
        <v>63</v>
      </c>
      <c r="P33" s="23" t="s">
        <v>228</v>
      </c>
      <c r="Q33" s="2">
        <v>1</v>
      </c>
      <c r="R33" s="2">
        <v>1</v>
      </c>
      <c r="S33" s="2" t="s">
        <v>63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 t="s">
        <v>63</v>
      </c>
      <c r="AA33" s="23" t="s">
        <v>233</v>
      </c>
      <c r="AB33" s="2">
        <v>1</v>
      </c>
      <c r="AC33" s="2">
        <v>1</v>
      </c>
      <c r="AD33" s="2" t="s">
        <v>63</v>
      </c>
      <c r="AE33" s="2" t="s">
        <v>63</v>
      </c>
      <c r="AF33" s="2" t="s">
        <v>63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 t="s">
        <v>63</v>
      </c>
      <c r="AM33" s="23" t="s">
        <v>222</v>
      </c>
      <c r="AN33" s="2" t="s">
        <v>63</v>
      </c>
      <c r="AO33" s="2" t="s">
        <v>63</v>
      </c>
      <c r="AP33" s="2">
        <v>1</v>
      </c>
      <c r="AQ33" s="2">
        <v>1</v>
      </c>
      <c r="AR33" s="2">
        <v>1</v>
      </c>
      <c r="AS33" s="2">
        <v>1</v>
      </c>
      <c r="AT33" s="23" t="s">
        <v>207</v>
      </c>
      <c r="AU33" s="2">
        <v>1</v>
      </c>
      <c r="AV33" s="2">
        <v>1</v>
      </c>
      <c r="AW33" s="2">
        <v>1</v>
      </c>
      <c r="AX33" s="2">
        <v>1</v>
      </c>
      <c r="AY33" s="2">
        <v>1</v>
      </c>
      <c r="AZ33" s="2" t="s">
        <v>63</v>
      </c>
      <c r="BA33" s="2">
        <v>1</v>
      </c>
      <c r="BB33" s="2">
        <v>1</v>
      </c>
      <c r="BC33" s="2">
        <v>1</v>
      </c>
      <c r="BD33" s="2">
        <v>1</v>
      </c>
      <c r="BE33" s="23" t="s">
        <v>234</v>
      </c>
      <c r="BF33" s="2">
        <v>1</v>
      </c>
      <c r="BG33" s="2" t="s">
        <v>63</v>
      </c>
      <c r="BH33" s="2">
        <v>1</v>
      </c>
      <c r="BI33" s="2" t="s">
        <v>146</v>
      </c>
      <c r="BJ33" s="21">
        <v>0</v>
      </c>
      <c r="BK33" s="21">
        <v>5</v>
      </c>
      <c r="BL33" s="21">
        <f t="shared" si="0"/>
        <v>38</v>
      </c>
      <c r="BM33" s="21">
        <v>0</v>
      </c>
      <c r="BN33" s="21">
        <v>17</v>
      </c>
      <c r="BO33" s="21"/>
    </row>
    <row r="34" spans="1:67" s="24" customFormat="1" x14ac:dyDescent="0.2">
      <c r="A34" s="3" t="s">
        <v>100</v>
      </c>
      <c r="B34" s="1" t="s">
        <v>101</v>
      </c>
      <c r="C34" s="2">
        <v>1</v>
      </c>
      <c r="D34" s="2">
        <v>1</v>
      </c>
      <c r="E34" s="23" t="s">
        <v>207</v>
      </c>
      <c r="F34" s="2">
        <v>1</v>
      </c>
      <c r="G34" s="23" t="s">
        <v>227</v>
      </c>
      <c r="H34" s="2">
        <v>1</v>
      </c>
      <c r="I34" s="2">
        <v>1</v>
      </c>
      <c r="J34" s="23" t="s">
        <v>220</v>
      </c>
      <c r="K34" s="2">
        <v>1</v>
      </c>
      <c r="L34" s="2">
        <v>1</v>
      </c>
      <c r="M34" s="23" t="s">
        <v>217</v>
      </c>
      <c r="N34" s="23" t="s">
        <v>234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3" t="s">
        <v>241</v>
      </c>
      <c r="Y34" s="2">
        <v>1</v>
      </c>
      <c r="Z34" s="2">
        <v>1</v>
      </c>
      <c r="AA34" s="23" t="s">
        <v>220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 t="s">
        <v>63</v>
      </c>
      <c r="AK34" s="2">
        <v>1</v>
      </c>
      <c r="AL34" s="2">
        <v>1</v>
      </c>
      <c r="AM34" s="23" t="s">
        <v>228</v>
      </c>
      <c r="AN34" s="23" t="s">
        <v>220</v>
      </c>
      <c r="AO34" s="2">
        <v>1</v>
      </c>
      <c r="AP34" s="2">
        <v>1</v>
      </c>
      <c r="AQ34" s="2">
        <v>1</v>
      </c>
      <c r="AR34" s="2">
        <v>1</v>
      </c>
      <c r="AS34" s="2">
        <v>1</v>
      </c>
      <c r="AT34" s="2">
        <v>1</v>
      </c>
      <c r="AU34" s="2">
        <v>1</v>
      </c>
      <c r="AV34" s="23" t="s">
        <v>222</v>
      </c>
      <c r="AW34" s="2">
        <v>1</v>
      </c>
      <c r="AX34" s="2" t="s">
        <v>63</v>
      </c>
      <c r="AY34" s="23" t="s">
        <v>207</v>
      </c>
      <c r="AZ34" s="2">
        <v>1</v>
      </c>
      <c r="BA34" s="2">
        <v>1</v>
      </c>
      <c r="BB34" s="2">
        <v>1</v>
      </c>
      <c r="BC34" s="2">
        <v>1</v>
      </c>
      <c r="BD34" s="2">
        <v>1</v>
      </c>
      <c r="BE34" s="23" t="s">
        <v>217</v>
      </c>
      <c r="BF34" s="2">
        <v>1</v>
      </c>
      <c r="BG34" s="2" t="s">
        <v>63</v>
      </c>
      <c r="BH34" s="2">
        <v>1</v>
      </c>
      <c r="BI34" s="2" t="s">
        <v>146</v>
      </c>
      <c r="BJ34" s="21">
        <v>0</v>
      </c>
      <c r="BK34" s="21">
        <v>12</v>
      </c>
      <c r="BL34" s="21">
        <f t="shared" si="0"/>
        <v>43</v>
      </c>
      <c r="BM34" s="21">
        <v>2</v>
      </c>
      <c r="BN34" s="21">
        <v>25</v>
      </c>
      <c r="BO34" s="21"/>
    </row>
    <row r="35" spans="1:67" s="24" customFormat="1" x14ac:dyDescent="0.2">
      <c r="A35" s="3" t="s">
        <v>112</v>
      </c>
      <c r="B35" s="1" t="s">
        <v>113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3" t="s">
        <v>223</v>
      </c>
      <c r="AB35" s="2" t="s">
        <v>63</v>
      </c>
      <c r="AC35" s="2">
        <v>1</v>
      </c>
      <c r="AD35" s="2" t="s">
        <v>63</v>
      </c>
      <c r="AE35" s="2">
        <v>1</v>
      </c>
      <c r="AF35" s="2">
        <v>1</v>
      </c>
      <c r="AG35" s="2">
        <v>1</v>
      </c>
      <c r="AH35" s="2">
        <v>1</v>
      </c>
      <c r="AI35" s="23" t="s">
        <v>212</v>
      </c>
      <c r="AJ35" s="2">
        <v>1</v>
      </c>
      <c r="AK35" s="2">
        <v>1</v>
      </c>
      <c r="AL35" s="2">
        <v>1</v>
      </c>
      <c r="AM35" s="2" t="s">
        <v>63</v>
      </c>
      <c r="AN35" s="2">
        <v>1</v>
      </c>
      <c r="AO35" s="2">
        <v>1</v>
      </c>
      <c r="AP35" s="2">
        <v>1</v>
      </c>
      <c r="AQ35" s="2">
        <v>1</v>
      </c>
      <c r="AR35" s="2">
        <v>1</v>
      </c>
      <c r="AS35" s="2">
        <v>1</v>
      </c>
      <c r="AT35" s="2">
        <v>1</v>
      </c>
      <c r="AU35" s="2">
        <v>1</v>
      </c>
      <c r="AV35" s="2">
        <v>1</v>
      </c>
      <c r="AW35" s="23" t="s">
        <v>207</v>
      </c>
      <c r="AX35" s="2">
        <v>1</v>
      </c>
      <c r="AY35" s="2">
        <v>1</v>
      </c>
      <c r="AZ35" s="2">
        <v>1</v>
      </c>
      <c r="BA35" s="2">
        <v>1</v>
      </c>
      <c r="BB35" s="2">
        <v>1</v>
      </c>
      <c r="BC35" s="2">
        <v>1</v>
      </c>
      <c r="BD35" s="23" t="s">
        <v>220</v>
      </c>
      <c r="BE35" s="2">
        <v>1</v>
      </c>
      <c r="BF35" s="2">
        <v>1</v>
      </c>
      <c r="BG35" s="2">
        <v>1</v>
      </c>
      <c r="BH35" s="2">
        <v>1</v>
      </c>
      <c r="BI35" s="2" t="s">
        <v>85</v>
      </c>
      <c r="BJ35" s="21">
        <v>0</v>
      </c>
      <c r="BK35" s="21">
        <v>4</v>
      </c>
      <c r="BL35" s="21">
        <f t="shared" si="0"/>
        <v>51</v>
      </c>
      <c r="BM35" s="21">
        <v>1</v>
      </c>
      <c r="BN35" s="21">
        <v>9</v>
      </c>
      <c r="BO35" s="21"/>
    </row>
    <row r="36" spans="1:67" s="24" customFormat="1" x14ac:dyDescent="0.2">
      <c r="A36" s="3" t="s">
        <v>118</v>
      </c>
      <c r="B36" s="1" t="s">
        <v>119</v>
      </c>
      <c r="C36" s="2">
        <v>1</v>
      </c>
      <c r="D36" s="25" t="s">
        <v>167</v>
      </c>
      <c r="E36" s="2">
        <v>1</v>
      </c>
      <c r="F36" s="2">
        <v>1</v>
      </c>
      <c r="G36" s="2">
        <v>1</v>
      </c>
      <c r="H36" s="2" t="s">
        <v>63</v>
      </c>
      <c r="I36" s="27" t="s">
        <v>169</v>
      </c>
      <c r="J36" s="2">
        <v>1</v>
      </c>
      <c r="K36" s="2">
        <v>1</v>
      </c>
      <c r="L36" s="2">
        <v>1</v>
      </c>
      <c r="M36" s="2">
        <v>1</v>
      </c>
      <c r="N36" s="6" t="s">
        <v>194</v>
      </c>
      <c r="O36" s="2">
        <v>1</v>
      </c>
      <c r="P36" s="25" t="s">
        <v>170</v>
      </c>
      <c r="Q36" s="2">
        <v>1</v>
      </c>
      <c r="R36" s="6" t="s">
        <v>194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5" t="s">
        <v>171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 t="s">
        <v>63</v>
      </c>
      <c r="AI36" s="2">
        <v>1</v>
      </c>
      <c r="AJ36" s="2" t="s">
        <v>63</v>
      </c>
      <c r="AK36" s="2">
        <v>1</v>
      </c>
      <c r="AL36" s="2">
        <v>1</v>
      </c>
      <c r="AM36" s="2">
        <v>1</v>
      </c>
      <c r="AN36" s="6" t="s">
        <v>194</v>
      </c>
      <c r="AO36" s="23" t="s">
        <v>159</v>
      </c>
      <c r="AP36" s="2">
        <v>1</v>
      </c>
      <c r="AQ36" s="2">
        <v>1</v>
      </c>
      <c r="AR36" s="2" t="s">
        <v>63</v>
      </c>
      <c r="AS36" s="2" t="s">
        <v>63</v>
      </c>
      <c r="AT36" s="2">
        <v>1</v>
      </c>
      <c r="AU36" s="2">
        <v>1</v>
      </c>
      <c r="AV36" s="2">
        <v>1</v>
      </c>
      <c r="AW36" s="6" t="s">
        <v>194</v>
      </c>
      <c r="AX36" s="6" t="s">
        <v>194</v>
      </c>
      <c r="AY36" s="2">
        <v>1</v>
      </c>
      <c r="AZ36" s="2">
        <v>1</v>
      </c>
      <c r="BA36" s="2">
        <v>1</v>
      </c>
      <c r="BB36" s="2">
        <v>1</v>
      </c>
      <c r="BC36" s="2">
        <v>1</v>
      </c>
      <c r="BD36" s="2">
        <v>1</v>
      </c>
      <c r="BE36" s="2">
        <v>1</v>
      </c>
      <c r="BF36" s="2">
        <v>1</v>
      </c>
      <c r="BG36" s="27" t="s">
        <v>198</v>
      </c>
      <c r="BH36" s="25" t="s">
        <v>172</v>
      </c>
      <c r="BI36" s="2" t="s">
        <v>85</v>
      </c>
      <c r="BJ36" s="21">
        <v>9</v>
      </c>
      <c r="BK36" s="21">
        <v>12</v>
      </c>
      <c r="BL36" s="21">
        <f t="shared" si="0"/>
        <v>41</v>
      </c>
      <c r="BM36" s="21">
        <v>10</v>
      </c>
      <c r="BN36" s="21">
        <v>14</v>
      </c>
      <c r="BO36" s="21"/>
    </row>
    <row r="37" spans="1:67" s="24" customFormat="1" x14ac:dyDescent="0.2">
      <c r="A37" s="3" t="s">
        <v>132</v>
      </c>
      <c r="B37" s="1" t="s">
        <v>133</v>
      </c>
      <c r="C37" s="23" t="s">
        <v>158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6" t="s">
        <v>194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2">
        <v>1</v>
      </c>
      <c r="AX37" s="2">
        <v>1</v>
      </c>
      <c r="AY37" s="23" t="s">
        <v>159</v>
      </c>
      <c r="AZ37" s="2">
        <v>1</v>
      </c>
      <c r="BA37" s="2">
        <v>1</v>
      </c>
      <c r="BB37" s="2">
        <v>1</v>
      </c>
      <c r="BC37" s="2">
        <v>1</v>
      </c>
      <c r="BD37" s="2">
        <v>1</v>
      </c>
      <c r="BE37" s="2">
        <v>1</v>
      </c>
      <c r="BF37" s="2">
        <v>1</v>
      </c>
      <c r="BG37" s="2">
        <v>1</v>
      </c>
      <c r="BH37" s="2">
        <v>1</v>
      </c>
      <c r="BI37" s="2" t="s">
        <v>85</v>
      </c>
      <c r="BJ37" s="21">
        <v>1</v>
      </c>
      <c r="BK37" s="21">
        <v>3</v>
      </c>
      <c r="BL37" s="21">
        <f t="shared" si="0"/>
        <v>55</v>
      </c>
      <c r="BM37" s="21">
        <v>1</v>
      </c>
      <c r="BN37" s="21">
        <v>3</v>
      </c>
      <c r="BO37" s="21"/>
    </row>
    <row r="38" spans="1:67" s="24" customFormat="1" x14ac:dyDescent="0.2">
      <c r="A38" s="3" t="s">
        <v>138</v>
      </c>
      <c r="B38" s="1" t="s">
        <v>139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7" t="s">
        <v>196</v>
      </c>
      <c r="O38" s="23" t="s">
        <v>159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 t="s">
        <v>63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3" t="s">
        <v>159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1</v>
      </c>
      <c r="AU38" s="2">
        <v>1</v>
      </c>
      <c r="AV38" s="2">
        <v>1</v>
      </c>
      <c r="AW38" s="2">
        <v>1</v>
      </c>
      <c r="AX38" s="2">
        <v>1</v>
      </c>
      <c r="AY38" s="2">
        <v>1</v>
      </c>
      <c r="AZ38" s="2">
        <v>1</v>
      </c>
      <c r="BA38" s="2">
        <v>1</v>
      </c>
      <c r="BB38" s="25" t="s">
        <v>165</v>
      </c>
      <c r="BC38" s="2">
        <v>1</v>
      </c>
      <c r="BD38" s="2" t="s">
        <v>63</v>
      </c>
      <c r="BE38" s="2">
        <v>1</v>
      </c>
      <c r="BF38" s="2">
        <v>1</v>
      </c>
      <c r="BG38" s="2">
        <v>1</v>
      </c>
      <c r="BH38" s="2">
        <v>1</v>
      </c>
      <c r="BI38" s="2" t="s">
        <v>85</v>
      </c>
      <c r="BJ38" s="21">
        <v>2</v>
      </c>
      <c r="BK38" s="21">
        <v>4</v>
      </c>
      <c r="BL38" s="21">
        <f t="shared" si="0"/>
        <v>52</v>
      </c>
      <c r="BM38" s="21">
        <v>2</v>
      </c>
      <c r="BN38" s="21">
        <v>4</v>
      </c>
    </row>
    <row r="39" spans="1:67" s="24" customFormat="1" x14ac:dyDescent="0.2">
      <c r="A39" s="3" t="s">
        <v>104</v>
      </c>
      <c r="B39" s="1" t="s">
        <v>105</v>
      </c>
      <c r="C39" s="2">
        <v>1</v>
      </c>
      <c r="D39" s="2" t="s">
        <v>63</v>
      </c>
      <c r="E39" s="2" t="s">
        <v>63</v>
      </c>
      <c r="F39" s="2">
        <v>1</v>
      </c>
      <c r="G39" s="23" t="s">
        <v>217</v>
      </c>
      <c r="H39" s="23" t="s">
        <v>217</v>
      </c>
      <c r="I39" s="2" t="s">
        <v>63</v>
      </c>
      <c r="J39" s="2">
        <v>1</v>
      </c>
      <c r="K39" s="2">
        <v>1</v>
      </c>
      <c r="L39" s="2">
        <v>1</v>
      </c>
      <c r="M39" s="23" t="s">
        <v>207</v>
      </c>
      <c r="N39" s="23" t="s">
        <v>207</v>
      </c>
      <c r="O39" s="2" t="s">
        <v>63</v>
      </c>
      <c r="P39" s="2" t="s">
        <v>63</v>
      </c>
      <c r="Q39" s="2">
        <v>1</v>
      </c>
      <c r="R39" s="2">
        <v>1</v>
      </c>
      <c r="S39" s="2">
        <v>1</v>
      </c>
      <c r="T39" s="2" t="s">
        <v>63</v>
      </c>
      <c r="U39" s="2" t="s">
        <v>63</v>
      </c>
      <c r="V39" s="23" t="s">
        <v>217</v>
      </c>
      <c r="W39" s="2">
        <v>1</v>
      </c>
      <c r="X39" s="2">
        <v>1</v>
      </c>
      <c r="Y39" s="2">
        <v>1</v>
      </c>
      <c r="Z39" s="2" t="s">
        <v>63</v>
      </c>
      <c r="AA39" s="23" t="s">
        <v>227</v>
      </c>
      <c r="AB39" s="2" t="s">
        <v>63</v>
      </c>
      <c r="AC39" s="2">
        <v>1</v>
      </c>
      <c r="AD39" s="2">
        <v>1</v>
      </c>
      <c r="AE39" s="2">
        <v>1</v>
      </c>
      <c r="AF39" s="2">
        <v>1</v>
      </c>
      <c r="AG39" s="23" t="s">
        <v>226</v>
      </c>
      <c r="AH39" s="6" t="s">
        <v>219</v>
      </c>
      <c r="AI39" s="2">
        <v>1</v>
      </c>
      <c r="AJ39" s="23" t="s">
        <v>207</v>
      </c>
      <c r="AK39" s="2">
        <v>1</v>
      </c>
      <c r="AL39" s="2" t="s">
        <v>63</v>
      </c>
      <c r="AM39" s="23" t="s">
        <v>207</v>
      </c>
      <c r="AN39" s="2" t="s">
        <v>63</v>
      </c>
      <c r="AO39" s="2">
        <v>1</v>
      </c>
      <c r="AP39" s="2">
        <v>1</v>
      </c>
      <c r="AQ39" s="23" t="s">
        <v>228</v>
      </c>
      <c r="AR39" s="23" t="s">
        <v>222</v>
      </c>
      <c r="AS39" s="23" t="s">
        <v>227</v>
      </c>
      <c r="AT39" s="2">
        <v>1</v>
      </c>
      <c r="AU39" s="2" t="s">
        <v>63</v>
      </c>
      <c r="AV39" s="2" t="s">
        <v>63</v>
      </c>
      <c r="AW39" s="2">
        <v>1</v>
      </c>
      <c r="AX39" s="2">
        <v>1</v>
      </c>
      <c r="AY39" s="2">
        <v>1</v>
      </c>
      <c r="AZ39" s="2">
        <v>1</v>
      </c>
      <c r="BA39" s="2" t="s">
        <v>63</v>
      </c>
      <c r="BB39" s="2">
        <v>1</v>
      </c>
      <c r="BC39" s="2">
        <v>1</v>
      </c>
      <c r="BD39" s="2">
        <v>1</v>
      </c>
      <c r="BE39" s="23" t="s">
        <v>217</v>
      </c>
      <c r="BF39" s="2" t="s">
        <v>63</v>
      </c>
      <c r="BG39" s="2" t="s">
        <v>63</v>
      </c>
      <c r="BH39" s="2">
        <v>1</v>
      </c>
      <c r="BI39" s="2" t="s">
        <v>85</v>
      </c>
      <c r="BJ39" s="21">
        <v>1</v>
      </c>
      <c r="BK39" s="21">
        <v>14</v>
      </c>
      <c r="BL39" s="21">
        <f t="shared" si="0"/>
        <v>28</v>
      </c>
      <c r="BM39" s="21">
        <v>1</v>
      </c>
      <c r="BN39" s="21">
        <v>24</v>
      </c>
      <c r="BO39" s="21"/>
    </row>
    <row r="40" spans="1:67" s="24" customFormat="1" x14ac:dyDescent="0.2">
      <c r="A40" s="3" t="s">
        <v>114</v>
      </c>
      <c r="B40" s="1" t="s">
        <v>115</v>
      </c>
      <c r="C40" s="2" t="s">
        <v>63</v>
      </c>
      <c r="D40" s="2">
        <v>1</v>
      </c>
      <c r="E40" s="2">
        <v>1</v>
      </c>
      <c r="F40" s="2">
        <v>1</v>
      </c>
      <c r="G40" s="2" t="s">
        <v>63</v>
      </c>
      <c r="H40" s="2">
        <v>1</v>
      </c>
      <c r="I40" s="23" t="s">
        <v>229</v>
      </c>
      <c r="J40" s="2">
        <v>1</v>
      </c>
      <c r="K40" s="2">
        <v>1</v>
      </c>
      <c r="L40" s="2">
        <v>1</v>
      </c>
      <c r="M40" s="23" t="s">
        <v>217</v>
      </c>
      <c r="N40" s="2">
        <v>1</v>
      </c>
      <c r="O40" s="23" t="s">
        <v>217</v>
      </c>
      <c r="P40" s="2" t="s">
        <v>63</v>
      </c>
      <c r="Q40" s="2" t="s">
        <v>63</v>
      </c>
      <c r="R40" s="23" t="s">
        <v>222</v>
      </c>
      <c r="S40" s="23" t="s">
        <v>230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 t="s">
        <v>63</v>
      </c>
      <c r="AB40" s="2" t="s">
        <v>63</v>
      </c>
      <c r="AC40" s="2">
        <v>1</v>
      </c>
      <c r="AD40" s="2">
        <v>1</v>
      </c>
      <c r="AE40" s="2">
        <v>1</v>
      </c>
      <c r="AF40" s="23" t="s">
        <v>217</v>
      </c>
      <c r="AG40" s="2">
        <v>1</v>
      </c>
      <c r="AH40" s="2" t="s">
        <v>63</v>
      </c>
      <c r="AI40" s="23" t="s">
        <v>228</v>
      </c>
      <c r="AJ40" s="2">
        <v>1</v>
      </c>
      <c r="AK40" s="2">
        <v>1</v>
      </c>
      <c r="AL40" s="2">
        <v>1</v>
      </c>
      <c r="AM40" s="2">
        <v>1</v>
      </c>
      <c r="AN40" s="2">
        <v>1</v>
      </c>
      <c r="AO40" s="2">
        <v>1</v>
      </c>
      <c r="AP40" s="2">
        <v>1</v>
      </c>
      <c r="AQ40" s="2">
        <v>1</v>
      </c>
      <c r="AR40" s="2">
        <v>1</v>
      </c>
      <c r="AS40" s="2">
        <v>1</v>
      </c>
      <c r="AT40" s="2">
        <v>1</v>
      </c>
      <c r="AU40" s="2">
        <v>1</v>
      </c>
      <c r="AV40" s="2">
        <v>1</v>
      </c>
      <c r="AW40" s="2">
        <v>1</v>
      </c>
      <c r="AX40" s="2" t="s">
        <v>63</v>
      </c>
      <c r="AY40" s="2">
        <v>1</v>
      </c>
      <c r="AZ40" s="23" t="s">
        <v>226</v>
      </c>
      <c r="BA40" s="23" t="s">
        <v>228</v>
      </c>
      <c r="BB40" s="2" t="s">
        <v>63</v>
      </c>
      <c r="BC40" s="2">
        <v>1</v>
      </c>
      <c r="BD40" s="2">
        <v>1</v>
      </c>
      <c r="BE40" s="23" t="s">
        <v>226</v>
      </c>
      <c r="BF40" s="2">
        <v>1</v>
      </c>
      <c r="BG40" s="2" t="s">
        <v>63</v>
      </c>
      <c r="BH40" s="2">
        <v>1</v>
      </c>
      <c r="BI40" s="2" t="s">
        <v>85</v>
      </c>
      <c r="BJ40" s="21">
        <v>0</v>
      </c>
      <c r="BK40" s="21">
        <v>10</v>
      </c>
      <c r="BL40" s="21">
        <f t="shared" si="0"/>
        <v>38</v>
      </c>
      <c r="BM40" s="21">
        <v>0</v>
      </c>
      <c r="BN40" s="21">
        <v>30</v>
      </c>
      <c r="BO40" s="21"/>
    </row>
    <row r="41" spans="1:67" s="24" customFormat="1" x14ac:dyDescent="0.2">
      <c r="A41" s="3" t="s">
        <v>128</v>
      </c>
      <c r="B41" s="1" t="s">
        <v>129</v>
      </c>
      <c r="C41" s="23" t="s">
        <v>217</v>
      </c>
      <c r="D41" s="2">
        <v>1</v>
      </c>
      <c r="E41" s="23" t="s">
        <v>217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T41" s="2">
        <v>1</v>
      </c>
      <c r="AU41" s="2">
        <v>1</v>
      </c>
      <c r="AV41" s="2">
        <v>1</v>
      </c>
      <c r="AW41" s="2">
        <v>1</v>
      </c>
      <c r="AX41" s="2">
        <v>1</v>
      </c>
      <c r="AY41" s="2">
        <v>1</v>
      </c>
      <c r="AZ41" s="2">
        <v>1</v>
      </c>
      <c r="BA41" s="2">
        <v>1</v>
      </c>
      <c r="BB41" s="2" t="s">
        <v>63</v>
      </c>
      <c r="BC41" s="2">
        <v>1</v>
      </c>
      <c r="BD41" s="2">
        <v>1</v>
      </c>
      <c r="BE41" s="2">
        <v>1</v>
      </c>
      <c r="BF41" s="2">
        <v>1</v>
      </c>
      <c r="BG41" s="2">
        <v>1</v>
      </c>
      <c r="BH41" s="2">
        <v>1</v>
      </c>
      <c r="BI41" s="2" t="s">
        <v>85</v>
      </c>
      <c r="BJ41" s="21">
        <v>0</v>
      </c>
      <c r="BK41" s="21">
        <v>2</v>
      </c>
      <c r="BL41" s="21">
        <f t="shared" si="0"/>
        <v>55</v>
      </c>
      <c r="BM41" s="21">
        <v>0</v>
      </c>
      <c r="BN41" s="21">
        <v>2</v>
      </c>
      <c r="BO41" s="21"/>
    </row>
    <row r="42" spans="1:67" s="24" customFormat="1" x14ac:dyDescent="0.2">
      <c r="A42" s="3" t="s">
        <v>130</v>
      </c>
      <c r="B42" s="1" t="s">
        <v>131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 t="s">
        <v>63</v>
      </c>
      <c r="L42" s="2" t="s">
        <v>63</v>
      </c>
      <c r="M42" s="2">
        <v>1</v>
      </c>
      <c r="N42" s="2">
        <v>1</v>
      </c>
      <c r="O42" s="2" t="s">
        <v>63</v>
      </c>
      <c r="P42" s="2">
        <v>1</v>
      </c>
      <c r="Q42" s="2" t="s">
        <v>63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 t="s">
        <v>63</v>
      </c>
      <c r="AI42" s="2" t="s">
        <v>63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3" t="s">
        <v>159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  <c r="BA42" s="2">
        <v>1</v>
      </c>
      <c r="BB42" s="23" t="s">
        <v>175</v>
      </c>
      <c r="BC42" s="2">
        <v>1</v>
      </c>
      <c r="BD42" s="2">
        <v>1</v>
      </c>
      <c r="BE42" s="2">
        <v>1</v>
      </c>
      <c r="BF42" s="2">
        <v>1</v>
      </c>
      <c r="BG42" s="2">
        <v>1</v>
      </c>
      <c r="BH42" s="2">
        <v>1</v>
      </c>
      <c r="BI42" s="2" t="s">
        <v>85</v>
      </c>
      <c r="BJ42" s="21">
        <v>0</v>
      </c>
      <c r="BK42" s="21">
        <v>2</v>
      </c>
      <c r="BL42" s="21">
        <f t="shared" si="0"/>
        <v>50</v>
      </c>
      <c r="BM42" s="21">
        <v>0</v>
      </c>
      <c r="BN42" s="21">
        <v>3</v>
      </c>
      <c r="BO42" s="21"/>
    </row>
    <row r="43" spans="1:67" s="24" customFormat="1" x14ac:dyDescent="0.2">
      <c r="A43" s="3" t="s">
        <v>140</v>
      </c>
      <c r="B43" s="1" t="s">
        <v>141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5" t="s">
        <v>166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2">
        <v>1</v>
      </c>
      <c r="AN43" s="2">
        <v>1</v>
      </c>
      <c r="AO43" s="2">
        <v>1</v>
      </c>
      <c r="AP43" s="2">
        <v>1</v>
      </c>
      <c r="AQ43" s="2">
        <v>1</v>
      </c>
      <c r="AR43" s="2">
        <v>1</v>
      </c>
      <c r="AS43" s="2">
        <v>1</v>
      </c>
      <c r="AT43" s="2">
        <v>1</v>
      </c>
      <c r="AU43" s="2">
        <v>1</v>
      </c>
      <c r="AV43" s="23" t="s">
        <v>159</v>
      </c>
      <c r="AW43" s="2">
        <v>1</v>
      </c>
      <c r="AX43" s="27" t="s">
        <v>192</v>
      </c>
      <c r="AY43" s="25" t="s">
        <v>197</v>
      </c>
      <c r="AZ43" s="2">
        <v>1</v>
      </c>
      <c r="BA43" s="2">
        <v>1</v>
      </c>
      <c r="BB43" s="2">
        <v>1</v>
      </c>
      <c r="BC43" s="2">
        <v>1</v>
      </c>
      <c r="BD43" s="2">
        <v>1</v>
      </c>
      <c r="BE43" s="2">
        <v>1</v>
      </c>
      <c r="BF43" s="2" t="s">
        <v>82</v>
      </c>
      <c r="BG43" s="2">
        <v>1</v>
      </c>
      <c r="BH43" s="2">
        <v>1</v>
      </c>
      <c r="BI43" s="2" t="s">
        <v>85</v>
      </c>
      <c r="BJ43" s="21">
        <v>2</v>
      </c>
      <c r="BK43" s="21">
        <v>4</v>
      </c>
      <c r="BL43" s="21">
        <f t="shared" si="0"/>
        <v>53</v>
      </c>
      <c r="BM43" s="21">
        <v>2</v>
      </c>
      <c r="BN43" s="21">
        <v>5</v>
      </c>
    </row>
    <row r="44" spans="1:67" s="24" customFormat="1" x14ac:dyDescent="0.2">
      <c r="A44" s="3" t="s">
        <v>126</v>
      </c>
      <c r="B44" s="1" t="s">
        <v>127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 t="s">
        <v>63</v>
      </c>
      <c r="AJ44" s="2">
        <v>1</v>
      </c>
      <c r="AK44" s="2" t="s">
        <v>63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3" t="s">
        <v>175</v>
      </c>
      <c r="AY44" s="23" t="s">
        <v>159</v>
      </c>
      <c r="AZ44" s="2">
        <v>1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 s="2">
        <v>1</v>
      </c>
      <c r="BI44" s="2" t="s">
        <v>85</v>
      </c>
      <c r="BJ44" s="21">
        <v>0</v>
      </c>
      <c r="BK44" s="21">
        <v>2</v>
      </c>
      <c r="BL44" s="21">
        <f t="shared" si="0"/>
        <v>54</v>
      </c>
      <c r="BM44" s="21">
        <v>0</v>
      </c>
      <c r="BN44" s="21">
        <v>3</v>
      </c>
      <c r="BO44" s="21"/>
    </row>
    <row r="45" spans="1:67" s="24" customFormat="1" x14ac:dyDescent="0.2">
      <c r="A45" s="3" t="s">
        <v>124</v>
      </c>
      <c r="B45" s="1" t="s">
        <v>125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3" t="s">
        <v>205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 t="s">
        <v>63</v>
      </c>
      <c r="AE45" s="2">
        <v>1</v>
      </c>
      <c r="AF45" s="2">
        <v>1</v>
      </c>
      <c r="AG45" s="2">
        <v>1</v>
      </c>
      <c r="AH45" s="2">
        <v>1</v>
      </c>
      <c r="AI45" s="2">
        <v>1</v>
      </c>
      <c r="AJ45" s="2">
        <v>1</v>
      </c>
      <c r="AK45" s="2">
        <v>1</v>
      </c>
      <c r="AL45" s="2">
        <v>1</v>
      </c>
      <c r="AM45" s="2">
        <v>1</v>
      </c>
      <c r="AN45" s="2">
        <v>1</v>
      </c>
      <c r="AO45" s="2">
        <v>1</v>
      </c>
      <c r="AP45" s="2">
        <v>1</v>
      </c>
      <c r="AQ45" s="2">
        <v>1</v>
      </c>
      <c r="AR45" s="2">
        <v>1</v>
      </c>
      <c r="AS45" s="2">
        <v>1</v>
      </c>
      <c r="AT45" s="2">
        <v>1</v>
      </c>
      <c r="AU45" s="2">
        <v>1</v>
      </c>
      <c r="AV45" s="2">
        <v>1</v>
      </c>
      <c r="AW45" s="2">
        <v>1</v>
      </c>
      <c r="AX45" s="2" t="s">
        <v>63</v>
      </c>
      <c r="AY45" s="2">
        <v>1</v>
      </c>
      <c r="AZ45" s="2">
        <v>1</v>
      </c>
      <c r="BA45" s="2">
        <v>1</v>
      </c>
      <c r="BB45" s="2">
        <v>1</v>
      </c>
      <c r="BC45" s="2">
        <v>1</v>
      </c>
      <c r="BD45" s="2">
        <v>1</v>
      </c>
      <c r="BE45" s="2">
        <v>1</v>
      </c>
      <c r="BF45" s="2">
        <v>1</v>
      </c>
      <c r="BG45" s="2">
        <v>1</v>
      </c>
      <c r="BH45" s="23" t="s">
        <v>159</v>
      </c>
      <c r="BI45" s="2" t="s">
        <v>85</v>
      </c>
      <c r="BJ45" s="21">
        <v>0</v>
      </c>
      <c r="BK45" s="21">
        <v>2</v>
      </c>
      <c r="BL45" s="21">
        <f t="shared" si="0"/>
        <v>54</v>
      </c>
      <c r="BM45" s="21">
        <v>0</v>
      </c>
      <c r="BN45" s="21">
        <v>5</v>
      </c>
      <c r="BO45" s="21"/>
    </row>
    <row r="46" spans="1:67" s="24" customFormat="1" x14ac:dyDescent="0.2">
      <c r="A46" s="3" t="s">
        <v>116</v>
      </c>
      <c r="B46" s="1" t="s">
        <v>117</v>
      </c>
      <c r="C46" s="27" t="s">
        <v>209</v>
      </c>
      <c r="D46" s="27" t="s">
        <v>210</v>
      </c>
      <c r="E46" s="27" t="s">
        <v>211</v>
      </c>
      <c r="F46" s="2">
        <v>1</v>
      </c>
      <c r="G46" s="2" t="s">
        <v>63</v>
      </c>
      <c r="H46" s="2" t="s">
        <v>63</v>
      </c>
      <c r="I46" s="2">
        <v>1</v>
      </c>
      <c r="J46" s="2">
        <v>1</v>
      </c>
      <c r="K46" s="2">
        <v>1</v>
      </c>
      <c r="L46" s="2">
        <v>1</v>
      </c>
      <c r="M46" s="2" t="s">
        <v>63</v>
      </c>
      <c r="N46" s="6" t="s">
        <v>212</v>
      </c>
      <c r="O46" s="2" t="s">
        <v>63</v>
      </c>
      <c r="P46" s="27" t="s">
        <v>213</v>
      </c>
      <c r="Q46" s="2" t="s">
        <v>63</v>
      </c>
      <c r="R46" s="2" t="s">
        <v>63</v>
      </c>
      <c r="S46" s="23" t="s">
        <v>207</v>
      </c>
      <c r="T46" s="27" t="s">
        <v>214</v>
      </c>
      <c r="U46" s="27" t="s">
        <v>215</v>
      </c>
      <c r="V46" s="2" t="s">
        <v>63</v>
      </c>
      <c r="W46" s="2" t="s">
        <v>63</v>
      </c>
      <c r="X46" s="2">
        <v>1</v>
      </c>
      <c r="Y46" s="2">
        <v>1</v>
      </c>
      <c r="Z46" s="2" t="s">
        <v>63</v>
      </c>
      <c r="AA46" s="2" t="s">
        <v>63</v>
      </c>
      <c r="AB46" s="27" t="s">
        <v>216</v>
      </c>
      <c r="AC46" s="2">
        <v>1</v>
      </c>
      <c r="AD46" s="2" t="s">
        <v>63</v>
      </c>
      <c r="AE46" s="23" t="s">
        <v>207</v>
      </c>
      <c r="AF46" s="27" t="s">
        <v>178</v>
      </c>
      <c r="AG46" s="2" t="s">
        <v>63</v>
      </c>
      <c r="AH46" s="23" t="s">
        <v>207</v>
      </c>
      <c r="AI46" s="23" t="s">
        <v>217</v>
      </c>
      <c r="AJ46" s="2">
        <v>1</v>
      </c>
      <c r="AK46" s="2">
        <v>1</v>
      </c>
      <c r="AL46" s="2">
        <v>1</v>
      </c>
      <c r="AM46" s="2">
        <v>1</v>
      </c>
      <c r="AN46" s="23" t="s">
        <v>207</v>
      </c>
      <c r="AO46" s="2">
        <v>1</v>
      </c>
      <c r="AP46" s="27" t="s">
        <v>179</v>
      </c>
      <c r="AQ46" s="27" t="s">
        <v>180</v>
      </c>
      <c r="AR46" s="27" t="s">
        <v>181</v>
      </c>
      <c r="AS46" s="23" t="s">
        <v>218</v>
      </c>
      <c r="AT46" s="2" t="s">
        <v>63</v>
      </c>
      <c r="AU46" s="2" t="s">
        <v>63</v>
      </c>
      <c r="AV46" s="2" t="s">
        <v>63</v>
      </c>
      <c r="AW46" s="2">
        <v>1</v>
      </c>
      <c r="AX46" s="2" t="s">
        <v>63</v>
      </c>
      <c r="AY46" s="2">
        <v>1</v>
      </c>
      <c r="AZ46" s="27" t="s">
        <v>182</v>
      </c>
      <c r="BA46" s="27" t="s">
        <v>183</v>
      </c>
      <c r="BB46" s="2" t="s">
        <v>63</v>
      </c>
      <c r="BC46" s="27" t="s">
        <v>184</v>
      </c>
      <c r="BD46" s="2">
        <v>1</v>
      </c>
      <c r="BE46" s="2" t="s">
        <v>63</v>
      </c>
      <c r="BF46" s="2">
        <v>1</v>
      </c>
      <c r="BG46" s="2" t="s">
        <v>63</v>
      </c>
      <c r="BH46" s="2">
        <v>1</v>
      </c>
      <c r="BI46" s="2" t="s">
        <v>85</v>
      </c>
      <c r="BJ46" s="21">
        <v>1</v>
      </c>
      <c r="BK46" s="21">
        <v>21</v>
      </c>
      <c r="BL46" s="21">
        <f t="shared" si="0"/>
        <v>18</v>
      </c>
      <c r="BM46" s="21">
        <v>5</v>
      </c>
      <c r="BN46" s="21">
        <v>31</v>
      </c>
    </row>
    <row r="47" spans="1:67" s="24" customFormat="1" ht="18" x14ac:dyDescent="0.2">
      <c r="A47" s="3" t="s">
        <v>110</v>
      </c>
      <c r="B47" s="1" t="s">
        <v>111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 t="s">
        <v>148</v>
      </c>
      <c r="R47" s="2">
        <v>1</v>
      </c>
      <c r="S47" s="2">
        <v>1</v>
      </c>
      <c r="T47" s="2">
        <v>1</v>
      </c>
      <c r="U47" s="23" t="s">
        <v>158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 t="s">
        <v>63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 t="s">
        <v>149</v>
      </c>
      <c r="AI47" s="2" t="s">
        <v>149</v>
      </c>
      <c r="AJ47" s="2">
        <v>1</v>
      </c>
      <c r="AK47" s="2">
        <v>1</v>
      </c>
      <c r="AL47" s="2">
        <v>1</v>
      </c>
      <c r="AM47" s="23" t="s">
        <v>159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  <c r="BA47" s="2">
        <v>1</v>
      </c>
      <c r="BB47" s="2">
        <v>1</v>
      </c>
      <c r="BC47" s="2">
        <v>1</v>
      </c>
      <c r="BD47" s="25" t="s">
        <v>161</v>
      </c>
      <c r="BE47" s="2">
        <v>1</v>
      </c>
      <c r="BF47" s="2">
        <v>1</v>
      </c>
      <c r="BG47" s="2">
        <v>1</v>
      </c>
      <c r="BH47" s="2">
        <v>1</v>
      </c>
      <c r="BI47" s="2" t="s">
        <v>85</v>
      </c>
      <c r="BJ47" s="21">
        <v>1</v>
      </c>
      <c r="BK47" s="21">
        <v>3</v>
      </c>
      <c r="BL47" s="21">
        <f t="shared" si="0"/>
        <v>51</v>
      </c>
      <c r="BM47" s="21">
        <v>1</v>
      </c>
      <c r="BN47" s="21">
        <v>3</v>
      </c>
      <c r="BO47" s="21"/>
    </row>
    <row r="48" spans="1:67" s="24" customFormat="1" x14ac:dyDescent="0.2">
      <c r="A48" s="3" t="s">
        <v>102</v>
      </c>
      <c r="B48" s="1" t="s">
        <v>103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3" t="s">
        <v>203</v>
      </c>
      <c r="N48" s="27" t="s">
        <v>204</v>
      </c>
      <c r="O48" s="2" t="s">
        <v>63</v>
      </c>
      <c r="P48" s="2">
        <v>1</v>
      </c>
      <c r="Q48" s="2" t="s">
        <v>63</v>
      </c>
      <c r="R48" s="2" t="s">
        <v>63</v>
      </c>
      <c r="S48" s="2" t="s">
        <v>63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 t="s">
        <v>63</v>
      </c>
      <c r="AA48" s="2" t="s">
        <v>63</v>
      </c>
      <c r="AB48" s="2">
        <v>1</v>
      </c>
      <c r="AC48" s="2">
        <v>1</v>
      </c>
      <c r="AD48" s="2" t="s">
        <v>63</v>
      </c>
      <c r="AE48" s="2" t="s">
        <v>63</v>
      </c>
      <c r="AF48" s="2">
        <v>1</v>
      </c>
      <c r="AG48" s="2">
        <v>1</v>
      </c>
      <c r="AH48" s="2" t="s">
        <v>63</v>
      </c>
      <c r="AI48" s="2" t="s">
        <v>63</v>
      </c>
      <c r="AJ48" s="2">
        <v>1</v>
      </c>
      <c r="AK48" s="2" t="s">
        <v>63</v>
      </c>
      <c r="AL48" s="2" t="s">
        <v>63</v>
      </c>
      <c r="AM48" s="2">
        <v>1</v>
      </c>
      <c r="AN48" s="2">
        <v>1</v>
      </c>
      <c r="AO48" s="2" t="s">
        <v>63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3" t="s">
        <v>159</v>
      </c>
      <c r="AW48" s="2">
        <v>1</v>
      </c>
      <c r="AX48" s="2">
        <v>1</v>
      </c>
      <c r="AY48" s="2">
        <v>1</v>
      </c>
      <c r="AZ48" s="2" t="s">
        <v>63</v>
      </c>
      <c r="BA48" s="2">
        <v>1</v>
      </c>
      <c r="BB48" s="2" t="s">
        <v>63</v>
      </c>
      <c r="BC48" s="2">
        <v>1</v>
      </c>
      <c r="BD48" s="2" t="s">
        <v>63</v>
      </c>
      <c r="BE48" s="23" t="s">
        <v>158</v>
      </c>
      <c r="BF48" s="2">
        <v>1</v>
      </c>
      <c r="BG48" s="23" t="s">
        <v>159</v>
      </c>
      <c r="BH48" s="2">
        <v>1</v>
      </c>
      <c r="BI48" s="2" t="s">
        <v>85</v>
      </c>
      <c r="BJ48" s="21">
        <v>0</v>
      </c>
      <c r="BK48" s="21">
        <v>5</v>
      </c>
      <c r="BL48" s="21">
        <f t="shared" si="0"/>
        <v>37</v>
      </c>
      <c r="BM48" s="21">
        <v>1</v>
      </c>
      <c r="BN48" s="21">
        <v>7</v>
      </c>
      <c r="BO48" s="21"/>
    </row>
    <row r="49" spans="1:67" s="24" customFormat="1" x14ac:dyDescent="0.2">
      <c r="A49" s="3" t="s">
        <v>106</v>
      </c>
      <c r="B49" s="1" t="s">
        <v>107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 t="s">
        <v>63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 t="s">
        <v>63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1</v>
      </c>
      <c r="AJ49" s="23" t="s">
        <v>159</v>
      </c>
      <c r="AK49" s="2">
        <v>1</v>
      </c>
      <c r="AL49" s="2">
        <v>1</v>
      </c>
      <c r="AM49" s="2">
        <v>1</v>
      </c>
      <c r="AN49" s="25" t="s">
        <v>162</v>
      </c>
      <c r="AO49" s="2">
        <v>1</v>
      </c>
      <c r="AP49" s="2" t="s">
        <v>63</v>
      </c>
      <c r="AQ49" s="2">
        <v>1</v>
      </c>
      <c r="AR49" s="2" t="s">
        <v>63</v>
      </c>
      <c r="AS49" s="2">
        <v>1</v>
      </c>
      <c r="AT49" s="2">
        <v>1</v>
      </c>
      <c r="AU49" s="2">
        <v>1</v>
      </c>
      <c r="AV49" s="2">
        <v>1</v>
      </c>
      <c r="AW49" s="2">
        <v>1</v>
      </c>
      <c r="AX49" s="2">
        <v>1</v>
      </c>
      <c r="AY49" s="2">
        <v>1</v>
      </c>
      <c r="AZ49" s="2">
        <v>1</v>
      </c>
      <c r="BA49" s="2">
        <v>1</v>
      </c>
      <c r="BB49" s="2">
        <v>1</v>
      </c>
      <c r="BC49" s="2">
        <v>1</v>
      </c>
      <c r="BD49" s="2">
        <v>1</v>
      </c>
      <c r="BE49" s="2">
        <v>1</v>
      </c>
      <c r="BF49" s="2">
        <v>1</v>
      </c>
      <c r="BG49" s="25" t="s">
        <v>162</v>
      </c>
      <c r="BH49" s="2">
        <v>1</v>
      </c>
      <c r="BI49" s="2" t="s">
        <v>85</v>
      </c>
      <c r="BJ49" s="21">
        <v>2</v>
      </c>
      <c r="BK49" s="21">
        <v>3</v>
      </c>
      <c r="BL49" s="21">
        <f t="shared" si="0"/>
        <v>51</v>
      </c>
      <c r="BM49" s="21">
        <v>2</v>
      </c>
      <c r="BN49" s="21">
        <v>3</v>
      </c>
      <c r="BO49" s="21"/>
    </row>
    <row r="50" spans="1:67" s="24" customFormat="1" x14ac:dyDescent="0.2">
      <c r="A50" s="3" t="s">
        <v>122</v>
      </c>
      <c r="B50" s="1" t="s">
        <v>123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 t="s">
        <v>63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6" t="s">
        <v>194</v>
      </c>
      <c r="AJ50" s="2">
        <v>1</v>
      </c>
      <c r="AK50" s="2">
        <v>1</v>
      </c>
      <c r="AL50" s="2">
        <v>1</v>
      </c>
      <c r="AM50" s="2">
        <v>1</v>
      </c>
      <c r="AN50" s="2">
        <v>1</v>
      </c>
      <c r="AO50" s="2">
        <v>1</v>
      </c>
      <c r="AP50" s="2">
        <v>1</v>
      </c>
      <c r="AQ50" s="2">
        <v>1</v>
      </c>
      <c r="AR50" s="2">
        <v>1</v>
      </c>
      <c r="AS50" s="2">
        <v>1</v>
      </c>
      <c r="AT50" s="2">
        <v>1</v>
      </c>
      <c r="AU50" s="2">
        <v>1</v>
      </c>
      <c r="AV50" s="27" t="s">
        <v>195</v>
      </c>
      <c r="AW50" s="2">
        <v>1</v>
      </c>
      <c r="AX50" s="2" t="s">
        <v>63</v>
      </c>
      <c r="AY50" s="2">
        <v>1</v>
      </c>
      <c r="AZ50" s="2">
        <v>1</v>
      </c>
      <c r="BA50" s="2">
        <v>1</v>
      </c>
      <c r="BB50" s="2">
        <v>1</v>
      </c>
      <c r="BC50" s="2">
        <v>1</v>
      </c>
      <c r="BD50" s="2">
        <v>1</v>
      </c>
      <c r="BE50" s="2">
        <v>1</v>
      </c>
      <c r="BF50" s="2">
        <v>1</v>
      </c>
      <c r="BG50" s="2">
        <v>1</v>
      </c>
      <c r="BH50" s="2">
        <v>1</v>
      </c>
      <c r="BI50" s="2" t="s">
        <v>85</v>
      </c>
      <c r="BJ50" s="21">
        <v>1</v>
      </c>
      <c r="BK50" s="21">
        <v>2</v>
      </c>
      <c r="BL50" s="21">
        <f t="shared" si="0"/>
        <v>54</v>
      </c>
      <c r="BM50" s="21">
        <v>1</v>
      </c>
      <c r="BN50" s="21">
        <v>4</v>
      </c>
      <c r="BO50" s="21"/>
    </row>
    <row r="51" spans="1:67" s="24" customFormat="1" x14ac:dyDescent="0.2">
      <c r="A51" s="3" t="s">
        <v>108</v>
      </c>
      <c r="B51" s="1" t="s">
        <v>109</v>
      </c>
      <c r="C51" s="6" t="s">
        <v>219</v>
      </c>
      <c r="D51" s="4">
        <v>1</v>
      </c>
      <c r="E51" s="2">
        <v>1</v>
      </c>
      <c r="F51" s="2" t="s">
        <v>63</v>
      </c>
      <c r="G51" s="2">
        <v>1</v>
      </c>
      <c r="H51" s="2" t="s">
        <v>63</v>
      </c>
      <c r="I51" s="23" t="s">
        <v>218</v>
      </c>
      <c r="J51" s="6" t="s">
        <v>219</v>
      </c>
      <c r="K51" s="2">
        <v>1</v>
      </c>
      <c r="L51" s="2">
        <v>1</v>
      </c>
      <c r="M51" s="2">
        <v>1</v>
      </c>
      <c r="N51" s="6" t="s">
        <v>219</v>
      </c>
      <c r="O51" s="6" t="s">
        <v>219</v>
      </c>
      <c r="P51" s="2" t="s">
        <v>63</v>
      </c>
      <c r="Q51" s="2" t="s">
        <v>63</v>
      </c>
      <c r="R51" s="6" t="s">
        <v>219</v>
      </c>
      <c r="S51" s="6" t="s">
        <v>219</v>
      </c>
      <c r="T51" s="6" t="s">
        <v>219</v>
      </c>
      <c r="U51" s="2" t="s">
        <v>82</v>
      </c>
      <c r="V51" s="2" t="s">
        <v>63</v>
      </c>
      <c r="W51" s="2">
        <v>1</v>
      </c>
      <c r="X51" s="2">
        <v>1</v>
      </c>
      <c r="Y51" s="2">
        <v>1</v>
      </c>
      <c r="Z51" s="6" t="s">
        <v>219</v>
      </c>
      <c r="AA51" s="6" t="s">
        <v>219</v>
      </c>
      <c r="AB51" s="23" t="s">
        <v>220</v>
      </c>
      <c r="AC51" s="2">
        <v>1</v>
      </c>
      <c r="AD51" s="23" t="s">
        <v>217</v>
      </c>
      <c r="AE51" s="23" t="s">
        <v>217</v>
      </c>
      <c r="AF51" s="23" t="s">
        <v>212</v>
      </c>
      <c r="AG51" s="6" t="s">
        <v>219</v>
      </c>
      <c r="AH51" s="2" t="s">
        <v>63</v>
      </c>
      <c r="AI51" s="2" t="s">
        <v>63</v>
      </c>
      <c r="AJ51" s="2">
        <v>1</v>
      </c>
      <c r="AK51" s="2" t="s">
        <v>63</v>
      </c>
      <c r="AL51" s="2">
        <v>1</v>
      </c>
      <c r="AM51" s="6" t="s">
        <v>219</v>
      </c>
      <c r="AN51" s="6" t="s">
        <v>219</v>
      </c>
      <c r="AO51" s="2" t="s">
        <v>63</v>
      </c>
      <c r="AP51" s="2" t="s">
        <v>63</v>
      </c>
      <c r="AQ51" s="6" t="s">
        <v>219</v>
      </c>
      <c r="AR51" s="23" t="s">
        <v>217</v>
      </c>
      <c r="AS51" s="2" t="s">
        <v>63</v>
      </c>
      <c r="AT51" s="2">
        <v>1</v>
      </c>
      <c r="AU51" s="2">
        <v>1</v>
      </c>
      <c r="AV51" s="2">
        <v>1</v>
      </c>
      <c r="AW51" s="6" t="s">
        <v>219</v>
      </c>
      <c r="AX51" s="6" t="s">
        <v>219</v>
      </c>
      <c r="AY51" s="2">
        <v>1</v>
      </c>
      <c r="AZ51" s="23" t="s">
        <v>207</v>
      </c>
      <c r="BA51" s="2">
        <v>1</v>
      </c>
      <c r="BB51" s="6" t="s">
        <v>219</v>
      </c>
      <c r="BC51" s="2" t="s">
        <v>63</v>
      </c>
      <c r="BD51" s="2">
        <v>1</v>
      </c>
      <c r="BE51" s="2" t="s">
        <v>63</v>
      </c>
      <c r="BF51" s="2" t="s">
        <v>63</v>
      </c>
      <c r="BG51" s="6" t="s">
        <v>219</v>
      </c>
      <c r="BH51" s="2" t="s">
        <v>63</v>
      </c>
      <c r="BI51" s="2" t="s">
        <v>85</v>
      </c>
      <c r="BJ51" s="21">
        <v>17</v>
      </c>
      <c r="BK51" s="21">
        <v>24</v>
      </c>
      <c r="BL51" s="21">
        <f t="shared" si="0"/>
        <v>18</v>
      </c>
      <c r="BM51" s="21">
        <v>18</v>
      </c>
      <c r="BN51" s="21">
        <v>27</v>
      </c>
      <c r="BO51" s="21"/>
    </row>
    <row r="52" spans="1:67" s="24" customFormat="1" x14ac:dyDescent="0.2">
      <c r="A52" s="3" t="s">
        <v>134</v>
      </c>
      <c r="B52" s="1" t="s">
        <v>135</v>
      </c>
      <c r="C52" s="2">
        <v>1</v>
      </c>
      <c r="D52" s="2">
        <v>1</v>
      </c>
      <c r="E52" s="23" t="s">
        <v>159</v>
      </c>
      <c r="F52" s="2">
        <v>1</v>
      </c>
      <c r="G52" s="2">
        <v>1</v>
      </c>
      <c r="H52" s="2" t="s">
        <v>63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3" t="s">
        <v>185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2">
        <v>1</v>
      </c>
      <c r="AN52" s="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3" t="s">
        <v>159</v>
      </c>
      <c r="AU52" s="2">
        <v>1</v>
      </c>
      <c r="AV52" s="2">
        <v>1</v>
      </c>
      <c r="AW52" s="2">
        <v>1</v>
      </c>
      <c r="AX52" s="2" t="s">
        <v>63</v>
      </c>
      <c r="AY52" s="2">
        <v>1</v>
      </c>
      <c r="AZ52" s="2" t="s">
        <v>63</v>
      </c>
      <c r="BA52" s="2">
        <v>1</v>
      </c>
      <c r="BB52" s="2">
        <v>1</v>
      </c>
      <c r="BC52" s="2">
        <v>1</v>
      </c>
      <c r="BD52" s="2">
        <v>1</v>
      </c>
      <c r="BE52" s="2">
        <v>1</v>
      </c>
      <c r="BF52" s="2">
        <v>1</v>
      </c>
      <c r="BG52" s="2">
        <v>1</v>
      </c>
      <c r="BH52" s="2">
        <v>1</v>
      </c>
      <c r="BI52" s="2" t="s">
        <v>85</v>
      </c>
      <c r="BJ52" s="21">
        <v>0</v>
      </c>
      <c r="BK52" s="21">
        <v>3</v>
      </c>
      <c r="BL52" s="21">
        <f t="shared" si="0"/>
        <v>52</v>
      </c>
      <c r="BM52" s="21">
        <v>0</v>
      </c>
      <c r="BN52" s="21">
        <v>4</v>
      </c>
      <c r="BO52" s="21"/>
    </row>
    <row r="53" spans="1:67" s="24" customFormat="1" x14ac:dyDescent="0.2">
      <c r="A53" s="3" t="s">
        <v>120</v>
      </c>
      <c r="B53" s="1" t="s">
        <v>121</v>
      </c>
      <c r="C53" s="2">
        <v>1</v>
      </c>
      <c r="D53" s="2" t="s">
        <v>63</v>
      </c>
      <c r="E53" s="2">
        <v>1</v>
      </c>
      <c r="F53" s="2">
        <v>1</v>
      </c>
      <c r="G53" s="2">
        <v>1</v>
      </c>
      <c r="H53" s="23" t="s">
        <v>159</v>
      </c>
      <c r="I53" s="21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 t="s">
        <v>63</v>
      </c>
      <c r="X53" s="2">
        <v>1</v>
      </c>
      <c r="Y53" s="21">
        <v>1</v>
      </c>
      <c r="Z53" s="23" t="s">
        <v>159</v>
      </c>
      <c r="AA53" s="2" t="s">
        <v>63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1</v>
      </c>
      <c r="AJ53" s="2" t="s">
        <v>63</v>
      </c>
      <c r="AK53" s="2">
        <v>1</v>
      </c>
      <c r="AL53" s="2">
        <v>1</v>
      </c>
      <c r="AM53" s="2">
        <v>1</v>
      </c>
      <c r="AN53" s="2">
        <v>1</v>
      </c>
      <c r="AO53" s="2">
        <v>1</v>
      </c>
      <c r="AP53" s="21">
        <v>1</v>
      </c>
      <c r="AQ53" s="2" t="s">
        <v>63</v>
      </c>
      <c r="AR53" s="2">
        <v>1</v>
      </c>
      <c r="AS53" s="2">
        <v>1</v>
      </c>
      <c r="AT53" s="2" t="s">
        <v>63</v>
      </c>
      <c r="AU53" s="2">
        <v>1</v>
      </c>
      <c r="AV53" s="2" t="s">
        <v>63</v>
      </c>
      <c r="AW53" s="2">
        <v>1</v>
      </c>
      <c r="AX53" s="2" t="s">
        <v>63</v>
      </c>
      <c r="AY53" s="2">
        <v>1</v>
      </c>
      <c r="AZ53" s="2">
        <v>1</v>
      </c>
      <c r="BA53" s="2">
        <v>1</v>
      </c>
      <c r="BB53" s="2">
        <v>1</v>
      </c>
      <c r="BC53" s="2">
        <v>1</v>
      </c>
      <c r="BD53" s="2" t="s">
        <v>63</v>
      </c>
      <c r="BE53" s="2">
        <v>1</v>
      </c>
      <c r="BF53" s="2">
        <v>1</v>
      </c>
      <c r="BG53" s="2" t="s">
        <v>63</v>
      </c>
      <c r="BH53" s="2">
        <v>1</v>
      </c>
      <c r="BI53" s="2" t="s">
        <v>85</v>
      </c>
      <c r="BJ53" s="21">
        <v>0</v>
      </c>
      <c r="BK53" s="21">
        <v>2</v>
      </c>
      <c r="BL53" s="21">
        <f t="shared" si="0"/>
        <v>46</v>
      </c>
      <c r="BM53" s="21">
        <v>0</v>
      </c>
      <c r="BN53" s="21">
        <v>2</v>
      </c>
      <c r="BO53" s="21"/>
    </row>
    <row r="54" spans="1:67" s="24" customFormat="1" x14ac:dyDescent="0.2">
      <c r="A54" s="3" t="s">
        <v>136</v>
      </c>
      <c r="B54" s="1" t="s">
        <v>137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 t="s">
        <v>63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6" t="s">
        <v>194</v>
      </c>
      <c r="AA54" s="2">
        <v>1</v>
      </c>
      <c r="AB54" s="2" t="s">
        <v>63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7" t="s">
        <v>199</v>
      </c>
      <c r="AJ54" s="2">
        <v>1</v>
      </c>
      <c r="AK54" s="29" t="s">
        <v>194</v>
      </c>
      <c r="AL54" s="2">
        <v>1</v>
      </c>
      <c r="AM54" s="2">
        <v>1</v>
      </c>
      <c r="AN54" s="2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U54" s="2">
        <v>1</v>
      </c>
      <c r="AV54" s="2">
        <v>1</v>
      </c>
      <c r="AW54" s="2">
        <v>1</v>
      </c>
      <c r="AX54" s="2">
        <v>1</v>
      </c>
      <c r="AY54" s="2">
        <v>1</v>
      </c>
      <c r="AZ54" s="2">
        <v>1</v>
      </c>
      <c r="BA54" s="2">
        <v>1</v>
      </c>
      <c r="BB54" s="2">
        <v>1</v>
      </c>
      <c r="BC54" s="2">
        <v>1</v>
      </c>
      <c r="BD54" s="2">
        <v>1</v>
      </c>
      <c r="BE54" s="2">
        <v>1</v>
      </c>
      <c r="BF54" s="2">
        <v>1</v>
      </c>
      <c r="BG54" s="2">
        <v>1</v>
      </c>
      <c r="BH54" s="2">
        <v>1</v>
      </c>
      <c r="BI54" s="2" t="s">
        <v>85</v>
      </c>
      <c r="BJ54" s="21">
        <v>2</v>
      </c>
      <c r="BK54" s="21">
        <v>3</v>
      </c>
      <c r="BL54" s="21">
        <f t="shared" si="0"/>
        <v>53</v>
      </c>
      <c r="BM54" s="21">
        <v>2</v>
      </c>
      <c r="BN54" s="21">
        <v>3</v>
      </c>
      <c r="BO54" s="21"/>
    </row>
    <row r="55" spans="1:67" s="24" customFormat="1" x14ac:dyDescent="0.2">
      <c r="A55" s="8" t="s">
        <v>144</v>
      </c>
      <c r="B55" s="9" t="s">
        <v>145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 t="s">
        <v>63</v>
      </c>
      <c r="N55" s="2">
        <v>1</v>
      </c>
      <c r="O55" s="2">
        <v>1</v>
      </c>
      <c r="P55" s="2" t="s">
        <v>63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 t="s">
        <v>63</v>
      </c>
      <c r="X55" s="2" t="s">
        <v>63</v>
      </c>
      <c r="Y55" s="2">
        <v>1</v>
      </c>
      <c r="Z55" s="2">
        <v>1</v>
      </c>
      <c r="AA55" s="2" t="s">
        <v>63</v>
      </c>
      <c r="AB55" s="2">
        <v>1</v>
      </c>
      <c r="AC55" s="2">
        <v>1</v>
      </c>
      <c r="AD55" s="2">
        <v>1</v>
      </c>
      <c r="AE55" s="2" t="s">
        <v>63</v>
      </c>
      <c r="AF55" s="2">
        <v>1</v>
      </c>
      <c r="AG55" s="2">
        <v>1</v>
      </c>
      <c r="AH55" s="2">
        <v>1</v>
      </c>
      <c r="AI55" s="2">
        <v>1</v>
      </c>
      <c r="AJ55" s="2">
        <v>1</v>
      </c>
      <c r="AK55" s="2">
        <v>1</v>
      </c>
      <c r="AL55" s="2">
        <v>1</v>
      </c>
      <c r="AM55" s="2">
        <v>1</v>
      </c>
      <c r="AN55" s="2">
        <v>1</v>
      </c>
      <c r="AO55" s="2">
        <v>1</v>
      </c>
      <c r="AP55" s="2">
        <v>1</v>
      </c>
      <c r="AQ55" s="2">
        <v>1</v>
      </c>
      <c r="AR55" s="2">
        <v>1</v>
      </c>
      <c r="AS55" s="2">
        <v>1</v>
      </c>
      <c r="AT55" s="2">
        <v>1</v>
      </c>
      <c r="AU55" s="2" t="s">
        <v>63</v>
      </c>
      <c r="AV55" s="2" t="s">
        <v>63</v>
      </c>
      <c r="AW55" s="2">
        <v>1</v>
      </c>
      <c r="AX55" s="2" t="s">
        <v>63</v>
      </c>
      <c r="AY55" s="2" t="s">
        <v>63</v>
      </c>
      <c r="AZ55" s="2">
        <v>1</v>
      </c>
      <c r="BA55" s="2">
        <v>1</v>
      </c>
      <c r="BB55" s="2">
        <v>1</v>
      </c>
      <c r="BC55" s="2">
        <v>1</v>
      </c>
      <c r="BD55" s="2" t="s">
        <v>63</v>
      </c>
      <c r="BE55" s="2">
        <v>1</v>
      </c>
      <c r="BF55" s="2">
        <v>1</v>
      </c>
      <c r="BG55" s="2">
        <v>1</v>
      </c>
      <c r="BH55" s="2">
        <v>1</v>
      </c>
      <c r="BI55" s="2" t="s">
        <v>147</v>
      </c>
      <c r="BJ55" s="21"/>
      <c r="BK55" s="21"/>
      <c r="BL55" s="21"/>
      <c r="BM55" s="21"/>
      <c r="BN55" s="21"/>
      <c r="BO55" s="21"/>
    </row>
    <row r="56" spans="1:67" s="24" customFormat="1" x14ac:dyDescent="0.2">
      <c r="A56" s="3" t="s">
        <v>142</v>
      </c>
      <c r="B56" s="1" t="s">
        <v>143</v>
      </c>
      <c r="C56" s="2">
        <v>1</v>
      </c>
      <c r="D56" s="2">
        <v>1</v>
      </c>
      <c r="E56" s="2">
        <v>1</v>
      </c>
      <c r="F56" s="2">
        <v>1</v>
      </c>
      <c r="G56" s="6" t="s">
        <v>219</v>
      </c>
      <c r="H56" s="2">
        <v>1</v>
      </c>
      <c r="I56" s="6" t="s">
        <v>219</v>
      </c>
      <c r="J56" s="6" t="s">
        <v>219</v>
      </c>
      <c r="K56" s="6" t="s">
        <v>219</v>
      </c>
      <c r="L56" s="2">
        <v>1</v>
      </c>
      <c r="M56" s="2">
        <v>1</v>
      </c>
      <c r="N56" s="6" t="s">
        <v>219</v>
      </c>
      <c r="O56" s="2">
        <v>1</v>
      </c>
      <c r="P56" s="23" t="s">
        <v>217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6" t="s">
        <v>219</v>
      </c>
      <c r="W56" s="2">
        <v>1</v>
      </c>
      <c r="X56" s="6" t="s">
        <v>219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6" t="s">
        <v>219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6" t="s">
        <v>219</v>
      </c>
      <c r="AM56" s="2">
        <v>1</v>
      </c>
      <c r="AN56" s="2">
        <v>1</v>
      </c>
      <c r="AO56" s="23" t="s">
        <v>228</v>
      </c>
      <c r="AP56" s="2">
        <v>1</v>
      </c>
      <c r="AQ56" s="2">
        <v>1</v>
      </c>
      <c r="AR56" s="2">
        <v>1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23" t="s">
        <v>217</v>
      </c>
      <c r="AY56" s="2">
        <v>1</v>
      </c>
      <c r="AZ56" s="6" t="s">
        <v>219</v>
      </c>
      <c r="BA56" s="2">
        <v>1</v>
      </c>
      <c r="BB56" s="6" t="s">
        <v>235</v>
      </c>
      <c r="BC56" s="2">
        <v>1</v>
      </c>
      <c r="BD56" s="6" t="s">
        <v>235</v>
      </c>
      <c r="BE56" s="2">
        <v>1</v>
      </c>
      <c r="BF56" s="2">
        <v>1</v>
      </c>
      <c r="BG56" s="2" t="s">
        <v>82</v>
      </c>
      <c r="BH56" s="2">
        <v>1</v>
      </c>
      <c r="BI56" s="2" t="s">
        <v>147</v>
      </c>
      <c r="BJ56" s="21">
        <v>12</v>
      </c>
      <c r="BK56" s="21">
        <v>15</v>
      </c>
      <c r="BL56" s="21">
        <f>SUM(C56:BH56)</f>
        <v>42</v>
      </c>
      <c r="BM56" s="21">
        <v>14</v>
      </c>
      <c r="BN56" s="21">
        <v>19</v>
      </c>
    </row>
    <row r="57" spans="1:67" s="24" customFormat="1" x14ac:dyDescent="0.2">
      <c r="A57" s="9" t="s">
        <v>154</v>
      </c>
      <c r="B57" s="9" t="s">
        <v>155</v>
      </c>
      <c r="C57" s="23" t="s">
        <v>222</v>
      </c>
      <c r="D57" s="23" t="s">
        <v>234</v>
      </c>
      <c r="E57" s="23" t="s">
        <v>207</v>
      </c>
      <c r="F57" s="23" t="s">
        <v>207</v>
      </c>
      <c r="G57" s="23" t="s">
        <v>222</v>
      </c>
      <c r="H57" s="23" t="s">
        <v>227</v>
      </c>
      <c r="I57" s="23" t="s">
        <v>222</v>
      </c>
      <c r="J57" s="23" t="s">
        <v>227</v>
      </c>
      <c r="K57" s="23" t="s">
        <v>227</v>
      </c>
      <c r="L57" s="23" t="s">
        <v>217</v>
      </c>
      <c r="M57" s="23" t="s">
        <v>222</v>
      </c>
      <c r="N57" s="23" t="s">
        <v>222</v>
      </c>
      <c r="O57" s="23" t="s">
        <v>236</v>
      </c>
      <c r="P57" s="23" t="s">
        <v>221</v>
      </c>
      <c r="Q57" s="23" t="s">
        <v>228</v>
      </c>
      <c r="R57" s="23" t="s">
        <v>207</v>
      </c>
      <c r="S57" s="23" t="s">
        <v>227</v>
      </c>
      <c r="T57" s="23" t="s">
        <v>227</v>
      </c>
      <c r="U57" s="23" t="s">
        <v>227</v>
      </c>
      <c r="V57" s="23" t="s">
        <v>237</v>
      </c>
      <c r="W57" s="23" t="s">
        <v>217</v>
      </c>
      <c r="X57" s="23" t="s">
        <v>222</v>
      </c>
      <c r="Y57" s="21">
        <v>1</v>
      </c>
      <c r="Z57" s="23" t="s">
        <v>238</v>
      </c>
      <c r="AA57" s="23" t="s">
        <v>226</v>
      </c>
      <c r="AB57" s="23" t="s">
        <v>221</v>
      </c>
      <c r="AC57" s="21">
        <v>1</v>
      </c>
      <c r="AD57" s="21" t="s">
        <v>63</v>
      </c>
      <c r="AE57" s="23" t="s">
        <v>239</v>
      </c>
      <c r="AF57" s="23" t="s">
        <v>234</v>
      </c>
      <c r="AG57" s="23" t="s">
        <v>222</v>
      </c>
      <c r="AH57" s="23" t="s">
        <v>227</v>
      </c>
      <c r="AI57" s="23" t="s">
        <v>227</v>
      </c>
      <c r="AJ57" s="21">
        <v>1</v>
      </c>
      <c r="AK57" s="23" t="s">
        <v>234</v>
      </c>
      <c r="AL57" s="23" t="s">
        <v>222</v>
      </c>
      <c r="AM57" s="23" t="s">
        <v>228</v>
      </c>
      <c r="AN57" s="23" t="s">
        <v>222</v>
      </c>
      <c r="AO57" s="23" t="s">
        <v>221</v>
      </c>
      <c r="AP57" s="23" t="s">
        <v>217</v>
      </c>
      <c r="AQ57" s="23" t="s">
        <v>227</v>
      </c>
      <c r="AR57" s="23" t="s">
        <v>227</v>
      </c>
      <c r="AS57" s="23" t="s">
        <v>227</v>
      </c>
      <c r="AT57" s="21">
        <v>1</v>
      </c>
      <c r="AU57" s="21">
        <v>1</v>
      </c>
      <c r="AV57" s="23" t="s">
        <v>217</v>
      </c>
      <c r="AW57" s="23" t="s">
        <v>227</v>
      </c>
      <c r="AX57" s="23" t="s">
        <v>227</v>
      </c>
      <c r="AY57" s="21">
        <v>1</v>
      </c>
      <c r="AZ57" s="23" t="s">
        <v>240</v>
      </c>
      <c r="BA57" s="23" t="s">
        <v>222</v>
      </c>
      <c r="BB57" s="23" t="s">
        <v>234</v>
      </c>
      <c r="BC57" s="23" t="s">
        <v>227</v>
      </c>
      <c r="BD57" s="23" t="s">
        <v>222</v>
      </c>
      <c r="BE57" s="23" t="s">
        <v>221</v>
      </c>
      <c r="BF57" s="23" t="s">
        <v>222</v>
      </c>
      <c r="BG57" s="23" t="s">
        <v>222</v>
      </c>
      <c r="BH57" s="23" t="s">
        <v>207</v>
      </c>
      <c r="BI57" s="2" t="s">
        <v>147</v>
      </c>
      <c r="BJ57" s="21"/>
      <c r="BK57" s="21"/>
      <c r="BL57" s="21"/>
      <c r="BM57" s="21"/>
      <c r="BN57" s="21"/>
      <c r="BO57" s="21"/>
    </row>
    <row r="58" spans="1:67" s="24" customFormat="1" x14ac:dyDescent="0.2">
      <c r="A58" s="24" t="s">
        <v>150</v>
      </c>
      <c r="B58" s="1" t="s">
        <v>151</v>
      </c>
      <c r="C58" s="21">
        <v>1</v>
      </c>
      <c r="D58" s="21">
        <v>1</v>
      </c>
      <c r="E58" s="21">
        <v>1</v>
      </c>
      <c r="F58" s="21">
        <v>1</v>
      </c>
      <c r="G58" s="21">
        <v>1</v>
      </c>
      <c r="H58" s="21">
        <v>1</v>
      </c>
      <c r="I58" s="21">
        <v>1</v>
      </c>
      <c r="J58" s="21" t="s">
        <v>63</v>
      </c>
      <c r="K58" s="21">
        <v>1</v>
      </c>
      <c r="L58" s="27" t="s">
        <v>200</v>
      </c>
      <c r="M58" s="21">
        <v>1</v>
      </c>
      <c r="N58" s="21">
        <v>1</v>
      </c>
      <c r="O58" s="21">
        <v>1</v>
      </c>
      <c r="P58" s="23" t="s">
        <v>159</v>
      </c>
      <c r="Q58" s="21" t="s">
        <v>63</v>
      </c>
      <c r="R58" s="21">
        <v>1</v>
      </c>
      <c r="S58" s="21">
        <v>1</v>
      </c>
      <c r="T58" s="21">
        <v>1</v>
      </c>
      <c r="U58" s="21">
        <v>1</v>
      </c>
      <c r="V58" s="21">
        <v>1</v>
      </c>
      <c r="W58" s="21">
        <v>1</v>
      </c>
      <c r="X58" s="21">
        <v>1</v>
      </c>
      <c r="Y58" s="21">
        <v>1</v>
      </c>
      <c r="Z58" s="21">
        <v>1</v>
      </c>
      <c r="AA58" s="21">
        <v>1</v>
      </c>
      <c r="AB58" s="21">
        <v>1</v>
      </c>
      <c r="AC58" s="27" t="s">
        <v>200</v>
      </c>
      <c r="AD58" s="21" t="s">
        <v>63</v>
      </c>
      <c r="AE58" s="21">
        <v>1</v>
      </c>
      <c r="AF58" s="21">
        <v>1</v>
      </c>
      <c r="AG58" s="21">
        <v>1</v>
      </c>
      <c r="AH58" s="21">
        <v>1</v>
      </c>
      <c r="AI58" s="21">
        <v>1</v>
      </c>
      <c r="AJ58" s="21">
        <v>1</v>
      </c>
      <c r="AK58" s="21">
        <v>1</v>
      </c>
      <c r="AL58" s="21">
        <v>1</v>
      </c>
      <c r="AM58" s="21">
        <v>1</v>
      </c>
      <c r="AN58" s="21">
        <v>1</v>
      </c>
      <c r="AO58" s="21" t="s">
        <v>63</v>
      </c>
      <c r="AP58" s="21" t="s">
        <v>63</v>
      </c>
      <c r="AQ58" s="21">
        <v>1</v>
      </c>
      <c r="AR58" s="21">
        <v>1</v>
      </c>
      <c r="AS58" s="21">
        <v>1</v>
      </c>
      <c r="AT58" s="21">
        <v>1</v>
      </c>
      <c r="AU58" s="27" t="s">
        <v>200</v>
      </c>
      <c r="AV58" s="21">
        <v>1</v>
      </c>
      <c r="AW58" s="21">
        <v>1</v>
      </c>
      <c r="AX58" s="21">
        <v>1</v>
      </c>
      <c r="AY58" s="27" t="s">
        <v>200</v>
      </c>
      <c r="AZ58" s="21">
        <v>1</v>
      </c>
      <c r="BA58" s="21">
        <v>1</v>
      </c>
      <c r="BB58" s="21">
        <v>1</v>
      </c>
      <c r="BC58" s="21">
        <v>1</v>
      </c>
      <c r="BD58" s="21">
        <v>1</v>
      </c>
      <c r="BE58" s="21">
        <v>1</v>
      </c>
      <c r="BF58" s="21">
        <v>1</v>
      </c>
      <c r="BG58" s="21">
        <v>1</v>
      </c>
      <c r="BH58" s="21">
        <v>1</v>
      </c>
      <c r="BI58" s="2" t="s">
        <v>147</v>
      </c>
      <c r="BJ58" s="21">
        <v>0</v>
      </c>
      <c r="BK58" s="21">
        <v>5</v>
      </c>
      <c r="BL58" s="21">
        <f>SUM(C58:BH58)</f>
        <v>48</v>
      </c>
      <c r="BM58" s="21">
        <v>0</v>
      </c>
      <c r="BN58" s="21">
        <v>5</v>
      </c>
      <c r="BO58" s="21"/>
    </row>
    <row r="59" spans="1:67" s="24" customFormat="1" x14ac:dyDescent="0.2">
      <c r="A59" s="24" t="s">
        <v>152</v>
      </c>
      <c r="B59" s="1" t="s">
        <v>153</v>
      </c>
      <c r="C59" s="21">
        <v>1</v>
      </c>
      <c r="D59" s="21">
        <v>1</v>
      </c>
      <c r="E59" s="23" t="s">
        <v>217</v>
      </c>
      <c r="F59" s="21" t="s">
        <v>63</v>
      </c>
      <c r="G59" s="21">
        <v>1</v>
      </c>
      <c r="H59" s="21">
        <v>1</v>
      </c>
      <c r="I59" s="21" t="s">
        <v>63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6" t="s">
        <v>219</v>
      </c>
      <c r="Q59" s="21">
        <v>1</v>
      </c>
      <c r="R59" s="21">
        <v>1</v>
      </c>
      <c r="S59" s="23" t="s">
        <v>207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3" t="s">
        <v>207</v>
      </c>
      <c r="AI59" s="23" t="s">
        <v>207</v>
      </c>
      <c r="AJ59" s="21">
        <v>1</v>
      </c>
      <c r="AK59" s="21" t="s">
        <v>63</v>
      </c>
      <c r="AL59" s="21">
        <v>1</v>
      </c>
      <c r="AM59" s="21">
        <v>1</v>
      </c>
      <c r="AN59" s="21">
        <v>1</v>
      </c>
      <c r="AO59" s="23" t="s">
        <v>221</v>
      </c>
      <c r="AP59" s="21" t="s">
        <v>63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3" t="s">
        <v>220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3" t="s">
        <v>217</v>
      </c>
      <c r="BF59" s="21">
        <v>1</v>
      </c>
      <c r="BG59" s="21">
        <v>1</v>
      </c>
      <c r="BH59" s="21">
        <v>1</v>
      </c>
      <c r="BI59" s="2" t="s">
        <v>147</v>
      </c>
      <c r="BJ59" s="21">
        <v>1</v>
      </c>
      <c r="BK59" s="21">
        <v>8</v>
      </c>
      <c r="BL59" s="21">
        <f>SUM(C59:BH59)</f>
        <v>46</v>
      </c>
      <c r="BM59" s="21">
        <v>1</v>
      </c>
      <c r="BN59" s="21">
        <v>11</v>
      </c>
      <c r="BO59" s="21"/>
    </row>
    <row r="60" spans="1:67" s="24" customFormat="1" ht="15.75" x14ac:dyDescent="0.25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0" t="s">
        <v>246</v>
      </c>
      <c r="BJ60" s="22">
        <f>SUM(BJ15:BJ59)</f>
        <v>69</v>
      </c>
      <c r="BK60" s="22">
        <f>SUM(BK15:BK59)</f>
        <v>291</v>
      </c>
      <c r="BL60" s="22">
        <f>SUM(BL15:BL59)</f>
        <v>1953</v>
      </c>
      <c r="BM60" s="22">
        <f>SUM(BM15:BM59)</f>
        <v>82</v>
      </c>
      <c r="BN60" s="22">
        <f>SUM(BN15:BN59)</f>
        <v>510</v>
      </c>
      <c r="BO60" s="21"/>
    </row>
    <row r="61" spans="1:67" ht="15.75" x14ac:dyDescent="0.25">
      <c r="A61" s="31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3"/>
    </row>
    <row r="62" spans="1:67" ht="15.75" x14ac:dyDescent="0.25">
      <c r="A62" s="31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3"/>
      <c r="BJ62" s="16" t="s">
        <v>254</v>
      </c>
      <c r="BK62" s="16" t="s">
        <v>255</v>
      </c>
      <c r="BM62" s="16" t="s">
        <v>266</v>
      </c>
    </row>
    <row r="63" spans="1:67" x14ac:dyDescent="0.2">
      <c r="A63" s="31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1"/>
      <c r="BJ63" s="34" t="s">
        <v>258</v>
      </c>
      <c r="BK63" s="35" t="s">
        <v>257</v>
      </c>
      <c r="BM63" s="36" t="s">
        <v>256</v>
      </c>
    </row>
    <row r="64" spans="1:67" x14ac:dyDescent="0.2">
      <c r="A64" s="31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1"/>
      <c r="BJ64" s="37">
        <f>BJ60/BK60</f>
        <v>0.23711340206185566</v>
      </c>
      <c r="BK64" s="37">
        <f>BJ60/(BJ60+BL60)</f>
        <v>3.4124629080118693E-2</v>
      </c>
      <c r="BM64" s="37">
        <f>BM60/BN60</f>
        <v>0.16078431372549021</v>
      </c>
    </row>
    <row r="65" spans="1:64" x14ac:dyDescent="0.2">
      <c r="A65" s="31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1"/>
    </row>
    <row r="66" spans="1:64" x14ac:dyDescent="0.2">
      <c r="A66" s="31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1"/>
      <c r="BL66" s="21"/>
    </row>
    <row r="67" spans="1:64" x14ac:dyDescent="0.2">
      <c r="A67" s="31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1"/>
    </row>
  </sheetData>
  <sortState ref="A16:BO59">
    <sortCondition descending="1" ref="BI16:BI59"/>
  </sortState>
  <mergeCells count="10">
    <mergeCell ref="A1:J1"/>
    <mergeCell ref="A2:L2"/>
    <mergeCell ref="B6:E6"/>
    <mergeCell ref="B5:E5"/>
    <mergeCell ref="B11:F11"/>
    <mergeCell ref="B4:E4"/>
    <mergeCell ref="B10:F10"/>
    <mergeCell ref="B9:F9"/>
    <mergeCell ref="B7:F7"/>
    <mergeCell ref="B8:F8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TableS10_AlignmentCheck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Cafeo, Lucy</cp:lastModifiedBy>
  <cp:revision/>
  <dcterms:created xsi:type="dcterms:W3CDTF">2018-02-06T19:24:08Z</dcterms:created>
  <dcterms:modified xsi:type="dcterms:W3CDTF">2018-12-11T15:01:52Z</dcterms:modified>
  <cp:category/>
  <cp:contentStatus/>
</cp:coreProperties>
</file>